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임혜린\Documents\GitHub\parsing_code_dev\sample\"/>
    </mc:Choice>
  </mc:AlternateContent>
  <xr:revisionPtr revIDLastSave="0" documentId="13_ncr:1_{6DBD719A-80F7-4A0E-94CC-ECC3B2E6BF6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. 시트 사용 안내" sheetId="1" r:id="rId1"/>
    <sheet name="1. 프로젝트 대시보드" sheetId="2" r:id="rId2"/>
    <sheet name="2. 도서 정보" sheetId="3" r:id="rId3"/>
    <sheet name="2. 도서 정보의 사본" sheetId="4" r:id="rId4"/>
    <sheet name="3. 도서별 작업 현황" sheetId="5" r:id="rId5"/>
    <sheet name="4. 작업자 관리" sheetId="6" r:id="rId6"/>
    <sheet name="5. 납품 전 체크리스트" sheetId="7" r:id="rId7"/>
    <sheet name="PoC" sheetId="8" r:id="rId8"/>
    <sheet name="작업자 정산관리" sheetId="9" r:id="rId9"/>
    <sheet name="WER 로그" sheetId="10" r:id="rId10"/>
    <sheet name="드롭다운 클래스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0" l="1" a="1"/>
  <c r="D15" i="10" s="1"/>
  <c r="B15" i="10" a="1"/>
  <c r="B15" i="10" s="1"/>
  <c r="D14" i="10" a="1"/>
  <c r="D14" i="10" s="1"/>
  <c r="B14" i="10" a="1"/>
  <c r="B14" i="10"/>
  <c r="D13" i="10" a="1"/>
  <c r="D13" i="10"/>
  <c r="B13" i="10" a="1"/>
  <c r="B13" i="10"/>
  <c r="D12" i="10" a="1"/>
  <c r="D12" i="10"/>
  <c r="B12" i="10" a="1"/>
  <c r="B12" i="10"/>
  <c r="D11" i="10" a="1"/>
  <c r="D11" i="10"/>
  <c r="B11" i="10" a="1"/>
  <c r="B11" i="10"/>
  <c r="D10" i="10" a="1"/>
  <c r="D10" i="10"/>
  <c r="B10" i="10" a="1"/>
  <c r="B10" i="10"/>
  <c r="D9" i="10" a="1"/>
  <c r="D9" i="10"/>
  <c r="B9" i="10" a="1"/>
  <c r="B9" i="10"/>
  <c r="D8" i="10" a="1"/>
  <c r="D8" i="10"/>
  <c r="B8" i="10" a="1"/>
  <c r="B8" i="10"/>
  <c r="D7" i="10" a="1"/>
  <c r="D7" i="10"/>
  <c r="B7" i="10" a="1"/>
  <c r="B7" i="10"/>
  <c r="D6" i="10" a="1"/>
  <c r="D6" i="10"/>
  <c r="B6" i="10" a="1"/>
  <c r="B6" i="10"/>
  <c r="D5" i="10" a="1"/>
  <c r="D5" i="10"/>
  <c r="B5" i="10" a="1"/>
  <c r="B5" i="10"/>
  <c r="D4" i="10" a="1"/>
  <c r="D4" i="10"/>
  <c r="B4" i="10" a="1"/>
  <c r="B4" i="10"/>
  <c r="D3" i="10" a="1"/>
  <c r="D3" i="10"/>
  <c r="B3" i="10" a="1"/>
  <c r="B3" i="10"/>
  <c r="D2" i="10" a="1"/>
  <c r="D2" i="10"/>
  <c r="C2" i="10" a="1"/>
  <c r="C2" i="10"/>
  <c r="B2" i="10" a="1"/>
  <c r="B2" i="10"/>
  <c r="H23" i="8"/>
  <c r="G23" i="8"/>
  <c r="G22" i="8"/>
  <c r="G21" i="8"/>
  <c r="H20" i="8"/>
  <c r="G20" i="8"/>
  <c r="G19" i="8"/>
  <c r="G18" i="8"/>
  <c r="H17" i="8"/>
  <c r="G17" i="8"/>
  <c r="G16" i="8"/>
  <c r="G15" i="8"/>
  <c r="H14" i="8"/>
  <c r="G14" i="8"/>
  <c r="G13" i="8"/>
  <c r="P12" i="8"/>
  <c r="O12" i="8"/>
  <c r="G12" i="8"/>
  <c r="O11" i="8"/>
  <c r="H11" i="8"/>
  <c r="G11" i="8"/>
  <c r="O10" i="8"/>
  <c r="G10" i="8"/>
  <c r="O9" i="8"/>
  <c r="G9" i="8"/>
  <c r="C609" i="7" a="1"/>
  <c r="C609" i="7"/>
  <c r="B609" i="7" a="1"/>
  <c r="B609" i="7"/>
  <c r="C608" i="7" a="1"/>
  <c r="C608" i="7"/>
  <c r="B608" i="7" a="1"/>
  <c r="B608" i="7"/>
  <c r="C607" i="7" a="1"/>
  <c r="C607" i="7"/>
  <c r="B607" i="7" a="1"/>
  <c r="B607" i="7"/>
  <c r="C606" i="7" a="1"/>
  <c r="C606" i="7"/>
  <c r="B606" i="7" a="1"/>
  <c r="B606" i="7"/>
  <c r="C605" i="7" a="1"/>
  <c r="C605" i="7"/>
  <c r="B605" i="7" a="1"/>
  <c r="B605" i="7"/>
  <c r="C604" i="7" a="1"/>
  <c r="C604" i="7"/>
  <c r="B604" i="7" a="1"/>
  <c r="B604" i="7"/>
  <c r="C603" i="7" a="1"/>
  <c r="C603" i="7"/>
  <c r="B603" i="7" a="1"/>
  <c r="B603" i="7"/>
  <c r="C602" i="7" a="1"/>
  <c r="C602" i="7"/>
  <c r="B602" i="7" a="1"/>
  <c r="B602" i="7"/>
  <c r="C601" i="7" a="1"/>
  <c r="C601" i="7"/>
  <c r="B601" i="7" a="1"/>
  <c r="B601" i="7"/>
  <c r="C600" i="7" a="1"/>
  <c r="C600" i="7"/>
  <c r="B600" i="7" a="1"/>
  <c r="B600" i="7"/>
  <c r="C599" i="7" a="1"/>
  <c r="C599" i="7"/>
  <c r="B599" i="7" a="1"/>
  <c r="B599" i="7"/>
  <c r="C598" i="7" a="1"/>
  <c r="C598" i="7"/>
  <c r="B598" i="7" a="1"/>
  <c r="B598" i="7"/>
  <c r="C597" i="7" a="1"/>
  <c r="C597" i="7"/>
  <c r="B597" i="7" a="1"/>
  <c r="B597" i="7"/>
  <c r="C596" i="7" a="1"/>
  <c r="C596" i="7"/>
  <c r="B596" i="7" a="1"/>
  <c r="B596" i="7"/>
  <c r="C595" i="7" a="1"/>
  <c r="C595" i="7"/>
  <c r="B595" i="7" a="1"/>
  <c r="B595" i="7"/>
  <c r="C594" i="7" a="1"/>
  <c r="C594" i="7"/>
  <c r="B594" i="7" a="1"/>
  <c r="B594" i="7"/>
  <c r="C593" i="7" a="1"/>
  <c r="C593" i="7"/>
  <c r="B593" i="7" a="1"/>
  <c r="B593" i="7"/>
  <c r="C592" i="7" a="1"/>
  <c r="C592" i="7"/>
  <c r="B592" i="7" a="1"/>
  <c r="B592" i="7"/>
  <c r="C591" i="7" a="1"/>
  <c r="C591" i="7"/>
  <c r="B591" i="7" a="1"/>
  <c r="B591" i="7"/>
  <c r="C590" i="7" a="1"/>
  <c r="C590" i="7"/>
  <c r="B590" i="7" a="1"/>
  <c r="B590" i="7"/>
  <c r="C589" i="7" a="1"/>
  <c r="C589" i="7"/>
  <c r="B589" i="7" a="1"/>
  <c r="B589" i="7"/>
  <c r="C588" i="7" a="1"/>
  <c r="C588" i="7"/>
  <c r="B588" i="7" a="1"/>
  <c r="B588" i="7"/>
  <c r="C587" i="7" a="1"/>
  <c r="C587" i="7"/>
  <c r="B587" i="7" a="1"/>
  <c r="B587" i="7"/>
  <c r="C586" i="7" a="1"/>
  <c r="C586" i="7"/>
  <c r="B586" i="7" a="1"/>
  <c r="B586" i="7" s="1"/>
  <c r="C585" i="7" a="1"/>
  <c r="C585" i="7" s="1"/>
  <c r="B585" i="7" a="1"/>
  <c r="B585" i="7"/>
  <c r="C584" i="7" a="1"/>
  <c r="C584" i="7"/>
  <c r="B584" i="7" a="1"/>
  <c r="B584" i="7"/>
  <c r="C583" i="7" a="1"/>
  <c r="C583" i="7"/>
  <c r="B583" i="7" a="1"/>
  <c r="B583" i="7"/>
  <c r="C582" i="7" a="1"/>
  <c r="C582" i="7"/>
  <c r="B582" i="7" a="1"/>
  <c r="B582" i="7"/>
  <c r="C581" i="7" a="1"/>
  <c r="C581" i="7" s="1"/>
  <c r="B581" i="7" a="1"/>
  <c r="B581" i="7" s="1"/>
  <c r="C580" i="7" a="1"/>
  <c r="C580" i="7"/>
  <c r="B580" i="7" a="1"/>
  <c r="B580" i="7" s="1"/>
  <c r="C579" i="7" a="1"/>
  <c r="C579" i="7"/>
  <c r="B579" i="7" a="1"/>
  <c r="B579" i="7"/>
  <c r="C578" i="7" a="1"/>
  <c r="C578" i="7" s="1"/>
  <c r="B578" i="7" a="1"/>
  <c r="B578" i="7"/>
  <c r="C577" i="7" a="1"/>
  <c r="C577" i="7"/>
  <c r="B577" i="7" a="1"/>
  <c r="B577" i="7"/>
  <c r="C576" i="7" a="1"/>
  <c r="C576" i="7"/>
  <c r="B576" i="7" a="1"/>
  <c r="B576" i="7"/>
  <c r="C575" i="7" a="1"/>
  <c r="C575" i="7"/>
  <c r="B575" i="7" a="1"/>
  <c r="B575" i="7"/>
  <c r="C574" i="7" a="1"/>
  <c r="C574" i="7"/>
  <c r="B574" i="7" a="1"/>
  <c r="B574" i="7"/>
  <c r="C573" i="7" a="1"/>
  <c r="C573" i="7"/>
  <c r="B573" i="7" a="1"/>
  <c r="B573" i="7"/>
  <c r="C572" i="7" a="1"/>
  <c r="C572" i="7"/>
  <c r="B572" i="7" a="1"/>
  <c r="B572" i="7"/>
  <c r="C571" i="7" a="1"/>
  <c r="C571" i="7"/>
  <c r="B571" i="7" a="1"/>
  <c r="B571" i="7"/>
  <c r="C570" i="7" a="1"/>
  <c r="C570" i="7"/>
  <c r="B570" i="7" a="1"/>
  <c r="B570" i="7"/>
  <c r="C569" i="7" a="1"/>
  <c r="C569" i="7"/>
  <c r="B569" i="7" a="1"/>
  <c r="B569" i="7"/>
  <c r="C568" i="7" a="1"/>
  <c r="C568" i="7"/>
  <c r="B568" i="7" a="1"/>
  <c r="B568" i="7"/>
  <c r="C567" i="7" a="1"/>
  <c r="C567" i="7"/>
  <c r="B567" i="7" a="1"/>
  <c r="B567" i="7"/>
  <c r="C566" i="7" a="1"/>
  <c r="C566" i="7"/>
  <c r="B566" i="7" a="1"/>
  <c r="B566" i="7"/>
  <c r="C565" i="7" a="1"/>
  <c r="C565" i="7"/>
  <c r="B565" i="7" a="1"/>
  <c r="B565" i="7"/>
  <c r="C564" i="7" a="1"/>
  <c r="C564" i="7"/>
  <c r="B564" i="7" a="1"/>
  <c r="B564" i="7"/>
  <c r="C563" i="7" a="1"/>
  <c r="C563" i="7"/>
  <c r="B563" i="7" a="1"/>
  <c r="B563" i="7"/>
  <c r="C562" i="7" a="1"/>
  <c r="C562" i="7"/>
  <c r="B562" i="7" a="1"/>
  <c r="B562" i="7"/>
  <c r="C561" i="7" a="1"/>
  <c r="C561" i="7"/>
  <c r="B561" i="7" a="1"/>
  <c r="B561" i="7"/>
  <c r="C560" i="7" a="1"/>
  <c r="C560" i="7"/>
  <c r="B560" i="7" a="1"/>
  <c r="B560" i="7"/>
  <c r="C559" i="7" a="1"/>
  <c r="C559" i="7"/>
  <c r="B559" i="7" a="1"/>
  <c r="B559" i="7"/>
  <c r="C558" i="7" a="1"/>
  <c r="C558" i="7"/>
  <c r="B558" i="7" a="1"/>
  <c r="B558" i="7"/>
  <c r="C557" i="7" a="1"/>
  <c r="C557" i="7"/>
  <c r="B557" i="7" a="1"/>
  <c r="B557" i="7"/>
  <c r="C556" i="7" a="1"/>
  <c r="C556" i="7"/>
  <c r="B556" i="7" a="1"/>
  <c r="B556" i="7"/>
  <c r="C555" i="7" a="1"/>
  <c r="C555" i="7"/>
  <c r="B555" i="7" a="1"/>
  <c r="B555" i="7"/>
  <c r="C554" i="7" a="1"/>
  <c r="C554" i="7"/>
  <c r="B554" i="7" a="1"/>
  <c r="B554" i="7"/>
  <c r="C553" i="7" a="1"/>
  <c r="C553" i="7"/>
  <c r="B553" i="7" a="1"/>
  <c r="B553" i="7"/>
  <c r="C552" i="7" a="1"/>
  <c r="C552" i="7"/>
  <c r="B552" i="7" a="1"/>
  <c r="B552" i="7"/>
  <c r="C551" i="7" a="1"/>
  <c r="C551" i="7"/>
  <c r="B551" i="7" a="1"/>
  <c r="B551" i="7"/>
  <c r="C550" i="7" a="1"/>
  <c r="C550" i="7"/>
  <c r="B550" i="7" a="1"/>
  <c r="B550" i="7"/>
  <c r="C549" i="7" a="1"/>
  <c r="C549" i="7"/>
  <c r="B549" i="7" a="1"/>
  <c r="B549" i="7"/>
  <c r="C548" i="7" a="1"/>
  <c r="C548" i="7"/>
  <c r="B548" i="7" a="1"/>
  <c r="B548" i="7"/>
  <c r="C547" i="7" a="1"/>
  <c r="C547" i="7"/>
  <c r="B547" i="7" a="1"/>
  <c r="B547" i="7"/>
  <c r="C546" i="7" a="1"/>
  <c r="C546" i="7"/>
  <c r="B546" i="7" a="1"/>
  <c r="B546" i="7"/>
  <c r="C545" i="7" a="1"/>
  <c r="C545" i="7"/>
  <c r="B545" i="7" a="1"/>
  <c r="B545" i="7"/>
  <c r="C544" i="7" a="1"/>
  <c r="C544" i="7"/>
  <c r="B544" i="7" a="1"/>
  <c r="B544" i="7"/>
  <c r="C543" i="7" a="1"/>
  <c r="C543" i="7" s="1"/>
  <c r="B543" i="7" a="1"/>
  <c r="B543" i="7" s="1"/>
  <c r="C542" i="7" a="1"/>
  <c r="C542" i="7" s="1"/>
  <c r="B542" i="7" a="1"/>
  <c r="B542" i="7" s="1"/>
  <c r="C541" i="7" a="1"/>
  <c r="C541" i="7" s="1"/>
  <c r="B541" i="7" a="1"/>
  <c r="B541" i="7" s="1"/>
  <c r="C540" i="7" a="1"/>
  <c r="C540" i="7" s="1"/>
  <c r="B540" i="7" a="1"/>
  <c r="B540" i="7" s="1"/>
  <c r="C539" i="7" a="1"/>
  <c r="C539" i="7" s="1"/>
  <c r="B539" i="7" a="1"/>
  <c r="B539" i="7" s="1"/>
  <c r="C538" i="7" a="1"/>
  <c r="C538" i="7" s="1"/>
  <c r="B538" i="7" a="1"/>
  <c r="B538" i="7" s="1"/>
  <c r="C537" i="7" a="1"/>
  <c r="C537" i="7" s="1"/>
  <c r="B537" i="7" a="1"/>
  <c r="B537" i="7" s="1"/>
  <c r="C536" i="7" a="1"/>
  <c r="C536" i="7" s="1"/>
  <c r="B536" i="7" a="1"/>
  <c r="B536" i="7" s="1"/>
  <c r="C535" i="7" a="1"/>
  <c r="C535" i="7" s="1"/>
  <c r="B535" i="7" a="1"/>
  <c r="B535" i="7" s="1"/>
  <c r="C534" i="7" a="1"/>
  <c r="C534" i="7" s="1"/>
  <c r="B534" i="7" a="1"/>
  <c r="B534" i="7" s="1"/>
  <c r="C533" i="7" a="1"/>
  <c r="C533" i="7" s="1"/>
  <c r="B533" i="7" a="1"/>
  <c r="B533" i="7" s="1"/>
  <c r="C532" i="7" a="1"/>
  <c r="C532" i="7" s="1"/>
  <c r="B532" i="7" a="1"/>
  <c r="B532" i="7" s="1"/>
  <c r="C531" i="7" a="1"/>
  <c r="C531" i="7" s="1"/>
  <c r="B531" i="7" a="1"/>
  <c r="B531" i="7" s="1"/>
  <c r="C530" i="7" a="1"/>
  <c r="C530" i="7" s="1"/>
  <c r="B530" i="7" a="1"/>
  <c r="B530" i="7" s="1"/>
  <c r="C529" i="7" a="1"/>
  <c r="C529" i="7" s="1"/>
  <c r="B529" i="7" a="1"/>
  <c r="B529" i="7"/>
  <c r="C528" i="7" a="1"/>
  <c r="C528" i="7" s="1"/>
  <c r="B528" i="7" a="1"/>
  <c r="B528" i="7" s="1"/>
  <c r="C527" i="7" a="1"/>
  <c r="C527" i="7" s="1"/>
  <c r="B527" i="7" a="1"/>
  <c r="B527" i="7" s="1"/>
  <c r="C526" i="7" a="1"/>
  <c r="C526" i="7" s="1"/>
  <c r="B526" i="7" a="1"/>
  <c r="B526" i="7" s="1"/>
  <c r="C525" i="7" a="1"/>
  <c r="C525" i="7" s="1"/>
  <c r="B525" i="7" a="1"/>
  <c r="B525" i="7" s="1"/>
  <c r="C524" i="7" a="1"/>
  <c r="C524" i="7" s="1"/>
  <c r="B524" i="7" a="1"/>
  <c r="B524" i="7" s="1"/>
  <c r="C523" i="7" a="1"/>
  <c r="C523" i="7" s="1"/>
  <c r="B523" i="7" a="1"/>
  <c r="B523" i="7" s="1"/>
  <c r="C522" i="7" a="1"/>
  <c r="C522" i="7" s="1"/>
  <c r="B522" i="7" a="1"/>
  <c r="B522" i="7" s="1"/>
  <c r="C521" i="7" a="1"/>
  <c r="C521" i="7" s="1"/>
  <c r="B521" i="7" a="1"/>
  <c r="B521" i="7" s="1"/>
  <c r="C520" i="7" a="1"/>
  <c r="C520" i="7" s="1"/>
  <c r="B520" i="7" a="1"/>
  <c r="B520" i="7" s="1"/>
  <c r="C519" i="7" a="1"/>
  <c r="C519" i="7" s="1"/>
  <c r="B519" i="7" a="1"/>
  <c r="B519" i="7" s="1"/>
  <c r="C518" i="7" a="1"/>
  <c r="C518" i="7" s="1"/>
  <c r="B518" i="7" a="1"/>
  <c r="B518" i="7" s="1"/>
  <c r="C517" i="7" a="1"/>
  <c r="C517" i="7" s="1"/>
  <c r="B517" i="7" a="1"/>
  <c r="B517" i="7" s="1"/>
  <c r="C516" i="7" a="1"/>
  <c r="C516" i="7" s="1"/>
  <c r="B516" i="7" a="1"/>
  <c r="B516" i="7" s="1"/>
  <c r="C515" i="7" a="1"/>
  <c r="C515" i="7" s="1"/>
  <c r="B515" i="7" a="1"/>
  <c r="B515" i="7" s="1"/>
  <c r="C514" i="7" a="1"/>
  <c r="C514" i="7" s="1"/>
  <c r="B514" i="7" a="1"/>
  <c r="B514" i="7" s="1"/>
  <c r="C513" i="7" a="1"/>
  <c r="C513" i="7" s="1"/>
  <c r="B513" i="7" a="1"/>
  <c r="B513" i="7" s="1"/>
  <c r="C512" i="7" a="1"/>
  <c r="C512" i="7" s="1"/>
  <c r="B512" i="7" a="1"/>
  <c r="B512" i="7" s="1"/>
  <c r="C511" i="7" a="1"/>
  <c r="C511" i="7" s="1"/>
  <c r="B511" i="7" a="1"/>
  <c r="B511" i="7" s="1"/>
  <c r="C510" i="7" a="1"/>
  <c r="C510" i="7" s="1"/>
  <c r="B510" i="7" a="1"/>
  <c r="B510" i="7" s="1"/>
  <c r="C509" i="7" a="1"/>
  <c r="C509" i="7" s="1"/>
  <c r="B509" i="7" a="1"/>
  <c r="B509" i="7" s="1"/>
  <c r="C508" i="7" a="1"/>
  <c r="C508" i="7" s="1"/>
  <c r="B508" i="7" a="1"/>
  <c r="B508" i="7" s="1"/>
  <c r="C507" i="7" a="1"/>
  <c r="C507" i="7" s="1"/>
  <c r="B507" i="7" a="1"/>
  <c r="B507" i="7" s="1"/>
  <c r="C506" i="7" a="1"/>
  <c r="C506" i="7" s="1"/>
  <c r="B506" i="7" a="1"/>
  <c r="B506" i="7" s="1"/>
  <c r="C505" i="7" a="1"/>
  <c r="C505" i="7" s="1"/>
  <c r="B505" i="7" a="1"/>
  <c r="B505" i="7" s="1"/>
  <c r="C504" i="7" a="1"/>
  <c r="C504" i="7" s="1"/>
  <c r="B504" i="7" a="1"/>
  <c r="B504" i="7" s="1"/>
  <c r="C503" i="7" a="1"/>
  <c r="C503" i="7" s="1"/>
  <c r="B503" i="7" a="1"/>
  <c r="B503" i="7" s="1"/>
  <c r="C502" i="7" a="1"/>
  <c r="C502" i="7" s="1"/>
  <c r="B502" i="7" a="1"/>
  <c r="B502" i="7" s="1"/>
  <c r="C501" i="7" a="1"/>
  <c r="C501" i="7" s="1"/>
  <c r="B501" i="7" a="1"/>
  <c r="B501" i="7" s="1"/>
  <c r="C500" i="7" a="1"/>
  <c r="C500" i="7" s="1"/>
  <c r="B500" i="7" a="1"/>
  <c r="B500" i="7" s="1"/>
  <c r="C499" i="7" a="1"/>
  <c r="C499" i="7" s="1"/>
  <c r="B499" i="7" a="1"/>
  <c r="B499" i="7" s="1"/>
  <c r="C498" i="7" a="1"/>
  <c r="C498" i="7" s="1"/>
  <c r="B498" i="7" a="1"/>
  <c r="B498" i="7" s="1"/>
  <c r="C497" i="7" a="1"/>
  <c r="C497" i="7" s="1"/>
  <c r="B497" i="7" a="1"/>
  <c r="B497" i="7" s="1"/>
  <c r="C496" i="7" a="1"/>
  <c r="C496" i="7" s="1"/>
  <c r="B496" i="7" a="1"/>
  <c r="B496" i="7" s="1"/>
  <c r="C495" i="7" a="1"/>
  <c r="C495" i="7" s="1"/>
  <c r="B495" i="7" a="1"/>
  <c r="B495" i="7" s="1"/>
  <c r="C494" i="7" a="1"/>
  <c r="C494" i="7" s="1"/>
  <c r="B494" i="7" a="1"/>
  <c r="B494" i="7" s="1"/>
  <c r="C493" i="7" a="1"/>
  <c r="C493" i="7" s="1"/>
  <c r="B493" i="7" a="1"/>
  <c r="B493" i="7" s="1"/>
  <c r="C492" i="7" a="1"/>
  <c r="C492" i="7" s="1"/>
  <c r="B492" i="7" a="1"/>
  <c r="B492" i="7" s="1"/>
  <c r="C491" i="7" a="1"/>
  <c r="C491" i="7" s="1"/>
  <c r="B491" i="7" a="1"/>
  <c r="B491" i="7" s="1"/>
  <c r="C490" i="7" a="1"/>
  <c r="C490" i="7" s="1"/>
  <c r="B490" i="7" a="1"/>
  <c r="B490" i="7" s="1"/>
  <c r="C489" i="7" a="1"/>
  <c r="C489" i="7" s="1"/>
  <c r="B489" i="7" a="1"/>
  <c r="B489" i="7" s="1"/>
  <c r="C488" i="7" a="1"/>
  <c r="C488" i="7" s="1"/>
  <c r="B488" i="7" a="1"/>
  <c r="B488" i="7" s="1"/>
  <c r="C487" i="7" a="1"/>
  <c r="C487" i="7" s="1"/>
  <c r="B487" i="7" a="1"/>
  <c r="B487" i="7" s="1"/>
  <c r="C486" i="7" a="1"/>
  <c r="C486" i="7" s="1"/>
  <c r="B486" i="7" a="1"/>
  <c r="B486" i="7" s="1"/>
  <c r="C485" i="7" a="1"/>
  <c r="C485" i="7" s="1"/>
  <c r="B485" i="7" a="1"/>
  <c r="B485" i="7" s="1"/>
  <c r="C484" i="7" a="1"/>
  <c r="C484" i="7" s="1"/>
  <c r="B484" i="7" a="1"/>
  <c r="B484" i="7" s="1"/>
  <c r="C483" i="7" a="1"/>
  <c r="C483" i="7" s="1"/>
  <c r="B483" i="7" a="1"/>
  <c r="B483" i="7" s="1"/>
  <c r="C482" i="7" a="1"/>
  <c r="C482" i="7" s="1"/>
  <c r="B482" i="7" a="1"/>
  <c r="B482" i="7" s="1"/>
  <c r="C481" i="7" a="1"/>
  <c r="C481" i="7" s="1"/>
  <c r="B481" i="7" a="1"/>
  <c r="B481" i="7" s="1"/>
  <c r="C480" i="7" a="1"/>
  <c r="C480" i="7" s="1"/>
  <c r="B480" i="7" a="1"/>
  <c r="B480" i="7" s="1"/>
  <c r="C479" i="7" a="1"/>
  <c r="C479" i="7" s="1"/>
  <c r="B479" i="7" a="1"/>
  <c r="B479" i="7" s="1"/>
  <c r="C478" i="7" a="1"/>
  <c r="C478" i="7" s="1"/>
  <c r="B478" i="7" a="1"/>
  <c r="B478" i="7"/>
  <c r="C477" i="7" a="1"/>
  <c r="C477" i="7"/>
  <c r="B477" i="7" a="1"/>
  <c r="B477" i="7"/>
  <c r="C476" i="7" a="1"/>
  <c r="C476" i="7"/>
  <c r="B476" i="7" a="1"/>
  <c r="B476" i="7"/>
  <c r="C475" i="7" a="1"/>
  <c r="C475" i="7"/>
  <c r="B475" i="7" a="1"/>
  <c r="B475" i="7"/>
  <c r="C474" i="7" a="1"/>
  <c r="C474" i="7"/>
  <c r="B474" i="7" a="1"/>
  <c r="B474" i="7"/>
  <c r="C473" i="7" a="1"/>
  <c r="C473" i="7"/>
  <c r="B473" i="7" a="1"/>
  <c r="B473" i="7"/>
  <c r="C472" i="7" a="1"/>
  <c r="C472" i="7"/>
  <c r="B472" i="7" a="1"/>
  <c r="B472" i="7"/>
  <c r="C471" i="7" a="1"/>
  <c r="C471" i="7"/>
  <c r="B471" i="7" a="1"/>
  <c r="B471" i="7"/>
  <c r="C470" i="7" a="1"/>
  <c r="C470" i="7"/>
  <c r="B470" i="7" a="1"/>
  <c r="B470" i="7"/>
  <c r="C469" i="7" a="1"/>
  <c r="C469" i="7"/>
  <c r="B469" i="7" a="1"/>
  <c r="B469" i="7"/>
  <c r="C468" i="7" a="1"/>
  <c r="C468" i="7"/>
  <c r="B468" i="7" a="1"/>
  <c r="B468" i="7" s="1"/>
  <c r="C467" i="7" a="1"/>
  <c r="C467" i="7"/>
  <c r="B467" i="7" a="1"/>
  <c r="B467" i="7"/>
  <c r="C466" i="7" a="1"/>
  <c r="C466" i="7"/>
  <c r="B466" i="7" a="1"/>
  <c r="B466" i="7"/>
  <c r="C465" i="7" a="1"/>
  <c r="C465" i="7"/>
  <c r="B465" i="7" a="1"/>
  <c r="B465" i="7"/>
  <c r="C464" i="7" a="1"/>
  <c r="C464" i="7"/>
  <c r="B464" i="7" a="1"/>
  <c r="B464" i="7"/>
  <c r="C463" i="7" a="1"/>
  <c r="C463" i="7"/>
  <c r="B463" i="7" a="1"/>
  <c r="B463" i="7"/>
  <c r="C462" i="7" a="1"/>
  <c r="C462" i="7"/>
  <c r="B462" i="7" a="1"/>
  <c r="B462" i="7"/>
  <c r="C461" i="7" a="1"/>
  <c r="C461" i="7"/>
  <c r="B461" i="7" a="1"/>
  <c r="B461" i="7"/>
  <c r="C460" i="7" a="1"/>
  <c r="C460" i="7"/>
  <c r="B460" i="7" a="1"/>
  <c r="B460" i="7"/>
  <c r="C459" i="7" a="1"/>
  <c r="C459" i="7"/>
  <c r="B459" i="7" a="1"/>
  <c r="B459" i="7"/>
  <c r="C458" i="7" a="1"/>
  <c r="C458" i="7"/>
  <c r="B458" i="7" a="1"/>
  <c r="B458" i="7" s="1"/>
  <c r="C457" i="7" a="1"/>
  <c r="C457" i="7"/>
  <c r="B457" i="7" a="1"/>
  <c r="B457" i="7"/>
  <c r="C456" i="7" a="1"/>
  <c r="C456" i="7"/>
  <c r="B456" i="7" a="1"/>
  <c r="B456" i="7"/>
  <c r="C455" i="7" a="1"/>
  <c r="C455" i="7"/>
  <c r="B455" i="7" a="1"/>
  <c r="B455" i="7"/>
  <c r="C454" i="7" a="1"/>
  <c r="C454" i="7"/>
  <c r="B454" i="7" a="1"/>
  <c r="B454" i="7"/>
  <c r="C453" i="7" a="1"/>
  <c r="C453" i="7"/>
  <c r="B453" i="7" a="1"/>
  <c r="B453" i="7"/>
  <c r="C452" i="7" a="1"/>
  <c r="C452" i="7" s="1"/>
  <c r="B452" i="7" a="1"/>
  <c r="B452" i="7" s="1"/>
  <c r="C451" i="7" a="1"/>
  <c r="C451" i="7"/>
  <c r="B451" i="7" a="1"/>
  <c r="B451" i="7" s="1"/>
  <c r="C450" i="7" a="1"/>
  <c r="C450" i="7" s="1"/>
  <c r="B450" i="7" a="1"/>
  <c r="B450" i="7" s="1"/>
  <c r="C449" i="7" a="1"/>
  <c r="C449" i="7" s="1"/>
  <c r="B449" i="7" a="1"/>
  <c r="B449" i="7" s="1"/>
  <c r="C448" i="7" a="1"/>
  <c r="C448" i="7" s="1"/>
  <c r="B448" i="7" a="1"/>
  <c r="B448" i="7" s="1"/>
  <c r="C447" i="7" a="1"/>
  <c r="C447" i="7" s="1"/>
  <c r="B447" i="7" a="1"/>
  <c r="B447" i="7" s="1"/>
  <c r="C446" i="7" a="1"/>
  <c r="C446" i="7" s="1"/>
  <c r="B446" i="7" a="1"/>
  <c r="B446" i="7" s="1"/>
  <c r="C445" i="7" a="1"/>
  <c r="C445" i="7" s="1"/>
  <c r="B445" i="7" a="1"/>
  <c r="B445" i="7" s="1"/>
  <c r="C444" i="7" a="1"/>
  <c r="C444" i="7" s="1"/>
  <c r="B444" i="7" a="1"/>
  <c r="B444" i="7" s="1"/>
  <c r="C443" i="7" a="1"/>
  <c r="C443" i="7" s="1"/>
  <c r="B443" i="7" a="1"/>
  <c r="B443" i="7" s="1"/>
  <c r="C442" i="7" a="1"/>
  <c r="C442" i="7" s="1"/>
  <c r="B442" i="7" a="1"/>
  <c r="B442" i="7" s="1"/>
  <c r="C441" i="7" a="1"/>
  <c r="C441" i="7" s="1"/>
  <c r="B441" i="7" a="1"/>
  <c r="B441" i="7" s="1"/>
  <c r="C440" i="7" a="1"/>
  <c r="C440" i="7" s="1"/>
  <c r="B440" i="7" a="1"/>
  <c r="B440" i="7" s="1"/>
  <c r="C439" i="7" a="1"/>
  <c r="C439" i="7" s="1"/>
  <c r="B439" i="7" a="1"/>
  <c r="B439" i="7" s="1"/>
  <c r="C438" i="7" a="1"/>
  <c r="C438" i="7" s="1"/>
  <c r="B438" i="7" a="1"/>
  <c r="B438" i="7" s="1"/>
  <c r="C437" i="7" a="1"/>
  <c r="C437" i="7" s="1"/>
  <c r="B437" i="7" a="1"/>
  <c r="B437" i="7" s="1"/>
  <c r="C436" i="7" a="1"/>
  <c r="C436" i="7" s="1"/>
  <c r="B436" i="7" a="1"/>
  <c r="B436" i="7" s="1"/>
  <c r="C435" i="7" a="1"/>
  <c r="C435" i="7" s="1"/>
  <c r="B435" i="7" a="1"/>
  <c r="B435" i="7" s="1"/>
  <c r="C434" i="7" a="1"/>
  <c r="C434" i="7" s="1"/>
  <c r="B434" i="7" a="1"/>
  <c r="B434" i="7" s="1"/>
  <c r="C433" i="7" a="1"/>
  <c r="C433" i="7" s="1"/>
  <c r="B433" i="7" a="1"/>
  <c r="B433" i="7" s="1"/>
  <c r="C432" i="7" a="1"/>
  <c r="C432" i="7" s="1"/>
  <c r="B432" i="7" a="1"/>
  <c r="B432" i="7" s="1"/>
  <c r="C431" i="7" a="1"/>
  <c r="C431" i="7" s="1"/>
  <c r="B431" i="7" a="1"/>
  <c r="B431" i="7" s="1"/>
  <c r="C430" i="7" a="1"/>
  <c r="C430" i="7" s="1"/>
  <c r="B430" i="7" a="1"/>
  <c r="B430" i="7" s="1"/>
  <c r="C429" i="7" a="1"/>
  <c r="C429" i="7" s="1"/>
  <c r="B429" i="7" a="1"/>
  <c r="B429" i="7" s="1"/>
  <c r="C428" i="7" a="1"/>
  <c r="C428" i="7" s="1"/>
  <c r="B428" i="7" a="1"/>
  <c r="B428" i="7" s="1"/>
  <c r="C427" i="7" a="1"/>
  <c r="C427" i="7" s="1"/>
  <c r="B427" i="7" a="1"/>
  <c r="B427" i="7" s="1"/>
  <c r="C426" i="7" a="1"/>
  <c r="C426" i="7" s="1"/>
  <c r="B426" i="7" a="1"/>
  <c r="B426" i="7" s="1"/>
  <c r="C425" i="7" a="1"/>
  <c r="C425" i="7" s="1"/>
  <c r="B425" i="7" a="1"/>
  <c r="B425" i="7" s="1"/>
  <c r="C424" i="7" a="1"/>
  <c r="C424" i="7" s="1"/>
  <c r="B424" i="7" a="1"/>
  <c r="B424" i="7" s="1"/>
  <c r="C423" i="7" a="1"/>
  <c r="C423" i="7" s="1"/>
  <c r="B423" i="7" a="1"/>
  <c r="B423" i="7" s="1"/>
  <c r="C422" i="7" a="1"/>
  <c r="C422" i="7" s="1"/>
  <c r="B422" i="7" a="1"/>
  <c r="B422" i="7" s="1"/>
  <c r="C421" i="7" a="1"/>
  <c r="C421" i="7" s="1"/>
  <c r="B421" i="7" a="1"/>
  <c r="B421" i="7" s="1"/>
  <c r="C420" i="7" a="1"/>
  <c r="C420" i="7" s="1"/>
  <c r="B420" i="7" a="1"/>
  <c r="B420" i="7" s="1"/>
  <c r="C419" i="7" a="1"/>
  <c r="C419" i="7" s="1"/>
  <c r="B419" i="7" a="1"/>
  <c r="B419" i="7" s="1"/>
  <c r="C418" i="7" a="1"/>
  <c r="C418" i="7" s="1"/>
  <c r="B418" i="7" a="1"/>
  <c r="B418" i="7" s="1"/>
  <c r="C417" i="7" a="1"/>
  <c r="C417" i="7" s="1"/>
  <c r="B417" i="7" a="1"/>
  <c r="B417" i="7" s="1"/>
  <c r="C416" i="7" a="1"/>
  <c r="C416" i="7" s="1"/>
  <c r="B416" i="7" a="1"/>
  <c r="B416" i="7" s="1"/>
  <c r="C415" i="7" a="1"/>
  <c r="C415" i="7" s="1"/>
  <c r="B415" i="7" a="1"/>
  <c r="B415" i="7" s="1"/>
  <c r="C414" i="7" a="1"/>
  <c r="C414" i="7" s="1"/>
  <c r="B414" i="7" a="1"/>
  <c r="B414" i="7" s="1"/>
  <c r="C413" i="7" a="1"/>
  <c r="C413" i="7" s="1"/>
  <c r="B413" i="7" a="1"/>
  <c r="B413" i="7" s="1"/>
  <c r="C412" i="7" a="1"/>
  <c r="C412" i="7" s="1"/>
  <c r="B412" i="7" a="1"/>
  <c r="B412" i="7" s="1"/>
  <c r="C411" i="7" a="1"/>
  <c r="C411" i="7" s="1"/>
  <c r="B411" i="7" a="1"/>
  <c r="B411" i="7" s="1"/>
  <c r="C410" i="7" a="1"/>
  <c r="C410" i="7" s="1"/>
  <c r="B410" i="7" a="1"/>
  <c r="B410" i="7" s="1"/>
  <c r="C409" i="7" a="1"/>
  <c r="C409" i="7" s="1"/>
  <c r="B409" i="7" a="1"/>
  <c r="B409" i="7" s="1"/>
  <c r="C408" i="7" a="1"/>
  <c r="C408" i="7" s="1"/>
  <c r="B408" i="7" a="1"/>
  <c r="B408" i="7" s="1"/>
  <c r="C407" i="7" a="1"/>
  <c r="C407" i="7" s="1"/>
  <c r="B407" i="7" a="1"/>
  <c r="B407" i="7" s="1"/>
  <c r="C406" i="7" a="1"/>
  <c r="C406" i="7" s="1"/>
  <c r="B406" i="7" a="1"/>
  <c r="B406" i="7" s="1"/>
  <c r="C405" i="7" a="1"/>
  <c r="C405" i="7" s="1"/>
  <c r="B405" i="7" a="1"/>
  <c r="B405" i="7" s="1"/>
  <c r="C404" i="7" a="1"/>
  <c r="C404" i="7" s="1"/>
  <c r="B404" i="7" a="1"/>
  <c r="B404" i="7" s="1"/>
  <c r="C403" i="7" a="1"/>
  <c r="C403" i="7" s="1"/>
  <c r="B403" i="7" a="1"/>
  <c r="B403" i="7" s="1"/>
  <c r="C402" i="7" a="1"/>
  <c r="C402" i="7" s="1"/>
  <c r="B402" i="7" a="1"/>
  <c r="B402" i="7" s="1"/>
  <c r="C401" i="7" a="1"/>
  <c r="C401" i="7" s="1"/>
  <c r="B401" i="7" a="1"/>
  <c r="B401" i="7" s="1"/>
  <c r="C400" i="7" a="1"/>
  <c r="C400" i="7" s="1"/>
  <c r="B400" i="7" a="1"/>
  <c r="B400" i="7" s="1"/>
  <c r="C399" i="7" a="1"/>
  <c r="C399" i="7" s="1"/>
  <c r="B399" i="7" a="1"/>
  <c r="B399" i="7" s="1"/>
  <c r="C398" i="7" a="1"/>
  <c r="C398" i="7" s="1"/>
  <c r="B398" i="7" a="1"/>
  <c r="B398" i="7" s="1"/>
  <c r="C397" i="7" a="1"/>
  <c r="C397" i="7" s="1"/>
  <c r="B397" i="7" a="1"/>
  <c r="B397" i="7" s="1"/>
  <c r="C396" i="7" a="1"/>
  <c r="C396" i="7" s="1"/>
  <c r="B396" i="7" a="1"/>
  <c r="B396" i="7" s="1"/>
  <c r="C395" i="7" a="1"/>
  <c r="C395" i="7" s="1"/>
  <c r="B395" i="7" a="1"/>
  <c r="B395" i="7" s="1"/>
  <c r="C394" i="7" a="1"/>
  <c r="C394" i="7" s="1"/>
  <c r="B394" i="7" a="1"/>
  <c r="B394" i="7" s="1"/>
  <c r="C393" i="7" a="1"/>
  <c r="C393" i="7" s="1"/>
  <c r="B393" i="7" a="1"/>
  <c r="B393" i="7" s="1"/>
  <c r="C392" i="7" a="1"/>
  <c r="C392" i="7" s="1"/>
  <c r="B392" i="7" a="1"/>
  <c r="B392" i="7" s="1"/>
  <c r="C391" i="7" a="1"/>
  <c r="C391" i="7" s="1"/>
  <c r="B391" i="7" a="1"/>
  <c r="B391" i="7" s="1"/>
  <c r="C390" i="7" a="1"/>
  <c r="C390" i="7" s="1"/>
  <c r="B390" i="7" a="1"/>
  <c r="B390" i="7" s="1"/>
  <c r="C389" i="7" a="1"/>
  <c r="C389" i="7" s="1"/>
  <c r="B389" i="7" a="1"/>
  <c r="B389" i="7" s="1"/>
  <c r="C388" i="7" a="1"/>
  <c r="C388" i="7" s="1"/>
  <c r="B388" i="7" a="1"/>
  <c r="B388" i="7" s="1"/>
  <c r="C387" i="7" a="1"/>
  <c r="C387" i="7" s="1"/>
  <c r="B387" i="7" a="1"/>
  <c r="B387" i="7" s="1"/>
  <c r="C386" i="7" a="1"/>
  <c r="C386" i="7" s="1"/>
  <c r="B386" i="7" a="1"/>
  <c r="B386" i="7" s="1"/>
  <c r="C385" i="7" a="1"/>
  <c r="C385" i="7" s="1"/>
  <c r="B385" i="7" a="1"/>
  <c r="B385" i="7" s="1"/>
  <c r="C384" i="7" a="1"/>
  <c r="C384" i="7" s="1"/>
  <c r="B384" i="7" a="1"/>
  <c r="B384" i="7" s="1"/>
  <c r="C383" i="7" a="1"/>
  <c r="C383" i="7" s="1"/>
  <c r="B383" i="7" a="1"/>
  <c r="B383" i="7" s="1"/>
  <c r="C382" i="7" a="1"/>
  <c r="C382" i="7" s="1"/>
  <c r="B382" i="7" a="1"/>
  <c r="B382" i="7" s="1"/>
  <c r="C381" i="7" a="1"/>
  <c r="C381" i="7" s="1"/>
  <c r="B381" i="7" a="1"/>
  <c r="B381" i="7" s="1"/>
  <c r="C380" i="7" a="1"/>
  <c r="C380" i="7" s="1"/>
  <c r="B380" i="7" a="1"/>
  <c r="B380" i="7" s="1"/>
  <c r="C379" i="7" a="1"/>
  <c r="C379" i="7" s="1"/>
  <c r="B379" i="7" a="1"/>
  <c r="B379" i="7" s="1"/>
  <c r="C378" i="7" a="1"/>
  <c r="C378" i="7" s="1"/>
  <c r="B378" i="7" a="1"/>
  <c r="B378" i="7" s="1"/>
  <c r="C377" i="7" a="1"/>
  <c r="C377" i="7" s="1"/>
  <c r="B377" i="7" a="1"/>
  <c r="B377" i="7" s="1"/>
  <c r="C376" i="7" a="1"/>
  <c r="C376" i="7" s="1"/>
  <c r="B376" i="7" a="1"/>
  <c r="B376" i="7" s="1"/>
  <c r="C375" i="7" a="1"/>
  <c r="C375" i="7" s="1"/>
  <c r="B375" i="7" a="1"/>
  <c r="B375" i="7" s="1"/>
  <c r="C374" i="7" a="1"/>
  <c r="C374" i="7" s="1"/>
  <c r="B374" i="7" a="1"/>
  <c r="B374" i="7" s="1"/>
  <c r="C373" i="7" a="1"/>
  <c r="C373" i="7" s="1"/>
  <c r="B373" i="7" a="1"/>
  <c r="B373" i="7" s="1"/>
  <c r="C372" i="7" a="1"/>
  <c r="C372" i="7" s="1"/>
  <c r="B372" i="7" a="1"/>
  <c r="B372" i="7" s="1"/>
  <c r="C371" i="7" a="1"/>
  <c r="C371" i="7" s="1"/>
  <c r="B371" i="7" a="1"/>
  <c r="B371" i="7" s="1"/>
  <c r="C370" i="7" a="1"/>
  <c r="C370" i="7" s="1"/>
  <c r="B370" i="7" a="1"/>
  <c r="B370" i="7" s="1"/>
  <c r="C369" i="7" a="1"/>
  <c r="C369" i="7" s="1"/>
  <c r="B369" i="7" a="1"/>
  <c r="B369" i="7" s="1"/>
  <c r="C368" i="7" a="1"/>
  <c r="C368" i="7" s="1"/>
  <c r="B368" i="7" a="1"/>
  <c r="B368" i="7" s="1"/>
  <c r="C367" i="7" a="1"/>
  <c r="C367" i="7" s="1"/>
  <c r="B367" i="7" a="1"/>
  <c r="B367" i="7" s="1"/>
  <c r="C366" i="7" a="1"/>
  <c r="C366" i="7" s="1"/>
  <c r="B366" i="7" a="1"/>
  <c r="B366" i="7" s="1"/>
  <c r="C365" i="7" a="1"/>
  <c r="C365" i="7" s="1"/>
  <c r="B365" i="7" a="1"/>
  <c r="B365" i="7" s="1"/>
  <c r="C364" i="7" a="1"/>
  <c r="C364" i="7" s="1"/>
  <c r="B364" i="7" a="1"/>
  <c r="B364" i="7" s="1"/>
  <c r="C363" i="7" a="1"/>
  <c r="C363" i="7" s="1"/>
  <c r="B363" i="7" a="1"/>
  <c r="B363" i="7" s="1"/>
  <c r="C362" i="7" a="1"/>
  <c r="C362" i="7" s="1"/>
  <c r="B362" i="7" a="1"/>
  <c r="B362" i="7" s="1"/>
  <c r="C361" i="7" a="1"/>
  <c r="C361" i="7" s="1"/>
  <c r="B361" i="7" a="1"/>
  <c r="B361" i="7" s="1"/>
  <c r="C360" i="7" a="1"/>
  <c r="C360" i="7" s="1"/>
  <c r="B360" i="7" a="1"/>
  <c r="B360" i="7" s="1"/>
  <c r="C359" i="7" a="1"/>
  <c r="C359" i="7" s="1"/>
  <c r="B359" i="7" a="1"/>
  <c r="B359" i="7" s="1"/>
  <c r="C358" i="7" a="1"/>
  <c r="C358" i="7" s="1"/>
  <c r="B358" i="7" a="1"/>
  <c r="B358" i="7" s="1"/>
  <c r="C357" i="7" a="1"/>
  <c r="C357" i="7" s="1"/>
  <c r="B357" i="7" a="1"/>
  <c r="B357" i="7" s="1"/>
  <c r="C356" i="7" a="1"/>
  <c r="C356" i="7" s="1"/>
  <c r="B356" i="7" a="1"/>
  <c r="B356" i="7" s="1"/>
  <c r="C355" i="7" a="1"/>
  <c r="C355" i="7" s="1"/>
  <c r="B355" i="7" a="1"/>
  <c r="B355" i="7" s="1"/>
  <c r="C354" i="7" a="1"/>
  <c r="C354" i="7" s="1"/>
  <c r="B354" i="7" a="1"/>
  <c r="B354" i="7" s="1"/>
  <c r="C353" i="7" a="1"/>
  <c r="C353" i="7" s="1"/>
  <c r="B353" i="7" a="1"/>
  <c r="B353" i="7" s="1"/>
  <c r="C352" i="7" a="1"/>
  <c r="C352" i="7" s="1"/>
  <c r="B352" i="7" a="1"/>
  <c r="B352" i="7" s="1"/>
  <c r="C351" i="7" a="1"/>
  <c r="C351" i="7" s="1"/>
  <c r="B351" i="7" a="1"/>
  <c r="B351" i="7" s="1"/>
  <c r="C350" i="7" a="1"/>
  <c r="C350" i="7" s="1"/>
  <c r="B350" i="7" a="1"/>
  <c r="B350" i="7" s="1"/>
  <c r="C349" i="7" a="1"/>
  <c r="C349" i="7" s="1"/>
  <c r="B349" i="7" a="1"/>
  <c r="B349" i="7" s="1"/>
  <c r="C348" i="7" a="1"/>
  <c r="C348" i="7" s="1"/>
  <c r="B348" i="7" a="1"/>
  <c r="B348" i="7" s="1"/>
  <c r="C347" i="7" a="1"/>
  <c r="C347" i="7" s="1"/>
  <c r="B347" i="7" a="1"/>
  <c r="B347" i="7" s="1"/>
  <c r="C346" i="7" a="1"/>
  <c r="C346" i="7" s="1"/>
  <c r="B346" i="7" a="1"/>
  <c r="B346" i="7" s="1"/>
  <c r="C345" i="7" a="1"/>
  <c r="C345" i="7" s="1"/>
  <c r="B345" i="7" a="1"/>
  <c r="B345" i="7" s="1"/>
  <c r="C344" i="7" a="1"/>
  <c r="C344" i="7" s="1"/>
  <c r="B344" i="7" a="1"/>
  <c r="B344" i="7" s="1"/>
  <c r="C343" i="7" a="1"/>
  <c r="C343" i="7" s="1"/>
  <c r="B343" i="7" a="1"/>
  <c r="B343" i="7" s="1"/>
  <c r="C342" i="7" a="1"/>
  <c r="C342" i="7" s="1"/>
  <c r="B342" i="7" a="1"/>
  <c r="B342" i="7" s="1"/>
  <c r="C341" i="7" a="1"/>
  <c r="C341" i="7" s="1"/>
  <c r="B341" i="7" a="1"/>
  <c r="B341" i="7" s="1"/>
  <c r="C340" i="7" a="1"/>
  <c r="C340" i="7" s="1"/>
  <c r="B340" i="7" a="1"/>
  <c r="B340" i="7" s="1"/>
  <c r="C339" i="7" a="1"/>
  <c r="C339" i="7" s="1"/>
  <c r="B339" i="7" a="1"/>
  <c r="B339" i="7" s="1"/>
  <c r="C338" i="7" a="1"/>
  <c r="C338" i="7" s="1"/>
  <c r="B338" i="7" a="1"/>
  <c r="B338" i="7" s="1"/>
  <c r="C337" i="7" a="1"/>
  <c r="C337" i="7" s="1"/>
  <c r="B337" i="7" a="1"/>
  <c r="B337" i="7" s="1"/>
  <c r="C336" i="7" a="1"/>
  <c r="C336" i="7" s="1"/>
  <c r="B336" i="7" a="1"/>
  <c r="B336" i="7" s="1"/>
  <c r="C335" i="7" a="1"/>
  <c r="C335" i="7" s="1"/>
  <c r="B335" i="7" a="1"/>
  <c r="B335" i="7" s="1"/>
  <c r="C334" i="7" a="1"/>
  <c r="C334" i="7" s="1"/>
  <c r="B334" i="7" a="1"/>
  <c r="B334" i="7" s="1"/>
  <c r="C333" i="7" a="1"/>
  <c r="C333" i="7" s="1"/>
  <c r="B333" i="7" a="1"/>
  <c r="B333" i="7" s="1"/>
  <c r="C332" i="7" a="1"/>
  <c r="C332" i="7" s="1"/>
  <c r="B332" i="7" a="1"/>
  <c r="B332" i="7" s="1"/>
  <c r="C331" i="7" a="1"/>
  <c r="C331" i="7" s="1"/>
  <c r="B331" i="7" a="1"/>
  <c r="B331" i="7" s="1"/>
  <c r="C330" i="7" a="1"/>
  <c r="C330" i="7" s="1"/>
  <c r="B330" i="7" a="1"/>
  <c r="B330" i="7" s="1"/>
  <c r="C329" i="7" a="1"/>
  <c r="C329" i="7" s="1"/>
  <c r="B329" i="7" a="1"/>
  <c r="B329" i="7" s="1"/>
  <c r="C328" i="7" a="1"/>
  <c r="C328" i="7" s="1"/>
  <c r="B328" i="7" a="1"/>
  <c r="B328" i="7" s="1"/>
  <c r="C327" i="7" a="1"/>
  <c r="C327" i="7" s="1"/>
  <c r="B327" i="7" a="1"/>
  <c r="B327" i="7" s="1"/>
  <c r="C326" i="7" a="1"/>
  <c r="C326" i="7" s="1"/>
  <c r="B326" i="7" a="1"/>
  <c r="B326" i="7" s="1"/>
  <c r="C325" i="7" a="1"/>
  <c r="C325" i="7" s="1"/>
  <c r="B325" i="7" a="1"/>
  <c r="B325" i="7" s="1"/>
  <c r="C324" i="7" a="1"/>
  <c r="C324" i="7" s="1"/>
  <c r="B324" i="7" a="1"/>
  <c r="B324" i="7" s="1"/>
  <c r="C323" i="7" a="1"/>
  <c r="C323" i="7" s="1"/>
  <c r="B323" i="7" a="1"/>
  <c r="B323" i="7" s="1"/>
  <c r="C322" i="7" a="1"/>
  <c r="C322" i="7" s="1"/>
  <c r="B322" i="7" a="1"/>
  <c r="B322" i="7" s="1"/>
  <c r="C321" i="7" a="1"/>
  <c r="C321" i="7" s="1"/>
  <c r="B321" i="7" a="1"/>
  <c r="B321" i="7" s="1"/>
  <c r="C320" i="7" a="1"/>
  <c r="C320" i="7" s="1"/>
  <c r="B320" i="7" a="1"/>
  <c r="B320" i="7" s="1"/>
  <c r="C319" i="7" a="1"/>
  <c r="C319" i="7" s="1"/>
  <c r="B319" i="7" a="1"/>
  <c r="B319" i="7" s="1"/>
  <c r="C318" i="7" a="1"/>
  <c r="C318" i="7" s="1"/>
  <c r="B318" i="7" a="1"/>
  <c r="B318" i="7" s="1"/>
  <c r="C317" i="7" a="1"/>
  <c r="C317" i="7" s="1"/>
  <c r="B317" i="7" a="1"/>
  <c r="B317" i="7" s="1"/>
  <c r="C316" i="7" a="1"/>
  <c r="C316" i="7" s="1"/>
  <c r="B316" i="7" a="1"/>
  <c r="B316" i="7" s="1"/>
  <c r="C315" i="7" a="1"/>
  <c r="C315" i="7" s="1"/>
  <c r="B315" i="7" a="1"/>
  <c r="B315" i="7" s="1"/>
  <c r="C314" i="7" a="1"/>
  <c r="C314" i="7" s="1"/>
  <c r="B314" i="7" a="1"/>
  <c r="B314" i="7" s="1"/>
  <c r="C313" i="7" a="1"/>
  <c r="C313" i="7" s="1"/>
  <c r="B313" i="7" a="1"/>
  <c r="B313" i="7" s="1"/>
  <c r="C312" i="7" a="1"/>
  <c r="C312" i="7" s="1"/>
  <c r="B312" i="7" a="1"/>
  <c r="B312" i="7" s="1"/>
  <c r="C311" i="7" a="1"/>
  <c r="C311" i="7" s="1"/>
  <c r="B311" i="7" a="1"/>
  <c r="B311" i="7" s="1"/>
  <c r="C310" i="7" a="1"/>
  <c r="C310" i="7" s="1"/>
  <c r="B310" i="7" a="1"/>
  <c r="B310" i="7" s="1"/>
  <c r="C309" i="7" a="1"/>
  <c r="C309" i="7" s="1"/>
  <c r="B309" i="7" a="1"/>
  <c r="B309" i="7" s="1"/>
  <c r="C308" i="7" a="1"/>
  <c r="C308" i="7" s="1"/>
  <c r="B308" i="7" a="1"/>
  <c r="B308" i="7" s="1"/>
  <c r="C307" i="7" a="1"/>
  <c r="C307" i="7" s="1"/>
  <c r="B307" i="7" a="1"/>
  <c r="B307" i="7" s="1"/>
  <c r="C306" i="7" a="1"/>
  <c r="C306" i="7" s="1"/>
  <c r="B306" i="7" a="1"/>
  <c r="B306" i="7" s="1"/>
  <c r="C305" i="7" a="1"/>
  <c r="C305" i="7" s="1"/>
  <c r="B305" i="7" a="1"/>
  <c r="B305" i="7" s="1"/>
  <c r="C304" i="7" a="1"/>
  <c r="C304" i="7" s="1"/>
  <c r="B304" i="7" a="1"/>
  <c r="B304" i="7" s="1"/>
  <c r="C303" i="7" a="1"/>
  <c r="C303" i="7" s="1"/>
  <c r="B303" i="7" a="1"/>
  <c r="B303" i="7" s="1"/>
  <c r="C302" i="7" a="1"/>
  <c r="C302" i="7" s="1"/>
  <c r="B302" i="7" a="1"/>
  <c r="B302" i="7" s="1"/>
  <c r="C301" i="7" a="1"/>
  <c r="C301" i="7" s="1"/>
  <c r="B301" i="7" a="1"/>
  <c r="B301" i="7" s="1"/>
  <c r="C300" i="7" a="1"/>
  <c r="C300" i="7" s="1"/>
  <c r="B300" i="7" a="1"/>
  <c r="B300" i="7" s="1"/>
  <c r="C299" i="7" a="1"/>
  <c r="C299" i="7" s="1"/>
  <c r="B299" i="7" a="1"/>
  <c r="B299" i="7" s="1"/>
  <c r="C298" i="7" a="1"/>
  <c r="C298" i="7" s="1"/>
  <c r="B298" i="7" a="1"/>
  <c r="B298" i="7" s="1"/>
  <c r="C297" i="7" a="1"/>
  <c r="C297" i="7" s="1"/>
  <c r="B297" i="7" a="1"/>
  <c r="B297" i="7" s="1"/>
  <c r="C296" i="7" a="1"/>
  <c r="C296" i="7" s="1"/>
  <c r="B296" i="7" a="1"/>
  <c r="B296" i="7" s="1"/>
  <c r="C295" i="7" a="1"/>
  <c r="C295" i="7" s="1"/>
  <c r="B295" i="7" a="1"/>
  <c r="B295" i="7" s="1"/>
  <c r="C294" i="7" a="1"/>
  <c r="C294" i="7" s="1"/>
  <c r="B294" i="7" a="1"/>
  <c r="B294" i="7" s="1"/>
  <c r="C293" i="7" a="1"/>
  <c r="C293" i="7" s="1"/>
  <c r="B293" i="7" a="1"/>
  <c r="B293" i="7" s="1"/>
  <c r="C292" i="7" a="1"/>
  <c r="C292" i="7" s="1"/>
  <c r="B292" i="7" a="1"/>
  <c r="B292" i="7" s="1"/>
  <c r="C291" i="7" a="1"/>
  <c r="C291" i="7" s="1"/>
  <c r="B291" i="7" a="1"/>
  <c r="B291" i="7" s="1"/>
  <c r="C290" i="7" a="1"/>
  <c r="C290" i="7" s="1"/>
  <c r="B290" i="7" a="1"/>
  <c r="B290" i="7" s="1"/>
  <c r="C289" i="7" a="1"/>
  <c r="C289" i="7" s="1"/>
  <c r="B289" i="7" a="1"/>
  <c r="B289" i="7" s="1"/>
  <c r="C288" i="7" a="1"/>
  <c r="C288" i="7" s="1"/>
  <c r="B288" i="7" a="1"/>
  <c r="B288" i="7" s="1"/>
  <c r="C287" i="7" a="1"/>
  <c r="C287" i="7" s="1"/>
  <c r="B287" i="7" a="1"/>
  <c r="B287" i="7" s="1"/>
  <c r="C286" i="7" a="1"/>
  <c r="C286" i="7" s="1"/>
  <c r="B286" i="7" a="1"/>
  <c r="B286" i="7" s="1"/>
  <c r="C285" i="7" a="1"/>
  <c r="C285" i="7" s="1"/>
  <c r="B285" i="7" a="1"/>
  <c r="B285" i="7" s="1"/>
  <c r="C284" i="7" a="1"/>
  <c r="C284" i="7" s="1"/>
  <c r="B284" i="7" a="1"/>
  <c r="B284" i="7" s="1"/>
  <c r="C283" i="7" a="1"/>
  <c r="C283" i="7" s="1"/>
  <c r="B283" i="7" a="1"/>
  <c r="B283" i="7" s="1"/>
  <c r="C282" i="7" a="1"/>
  <c r="C282" i="7" s="1"/>
  <c r="B282" i="7" a="1"/>
  <c r="B282" i="7" s="1"/>
  <c r="C281" i="7" a="1"/>
  <c r="C281" i="7" s="1"/>
  <c r="B281" i="7" a="1"/>
  <c r="B281" i="7" s="1"/>
  <c r="C280" i="7" a="1"/>
  <c r="C280" i="7" s="1"/>
  <c r="B280" i="7" a="1"/>
  <c r="B280" i="7" s="1"/>
  <c r="C279" i="7" a="1"/>
  <c r="C279" i="7" s="1"/>
  <c r="B279" i="7" a="1"/>
  <c r="B279" i="7" s="1"/>
  <c r="C278" i="7" a="1"/>
  <c r="C278" i="7" s="1"/>
  <c r="B278" i="7" a="1"/>
  <c r="B278" i="7" s="1"/>
  <c r="C277" i="7" a="1"/>
  <c r="C277" i="7" s="1"/>
  <c r="B277" i="7" a="1"/>
  <c r="B277" i="7" s="1"/>
  <c r="C276" i="7" a="1"/>
  <c r="C276" i="7" s="1"/>
  <c r="B276" i="7" a="1"/>
  <c r="B276" i="7" s="1"/>
  <c r="C275" i="7" a="1"/>
  <c r="C275" i="7" s="1"/>
  <c r="B275" i="7" a="1"/>
  <c r="B275" i="7" s="1"/>
  <c r="C274" i="7" a="1"/>
  <c r="C274" i="7" s="1"/>
  <c r="B274" i="7" a="1"/>
  <c r="B274" i="7" s="1"/>
  <c r="C273" i="7" a="1"/>
  <c r="C273" i="7" s="1"/>
  <c r="B273" i="7" a="1"/>
  <c r="B273" i="7" s="1"/>
  <c r="C272" i="7" a="1"/>
  <c r="C272" i="7" s="1"/>
  <c r="B272" i="7" a="1"/>
  <c r="B272" i="7" s="1"/>
  <c r="C271" i="7" a="1"/>
  <c r="C271" i="7" s="1"/>
  <c r="B271" i="7" a="1"/>
  <c r="B271" i="7" s="1"/>
  <c r="C270" i="7" a="1"/>
  <c r="C270" i="7" s="1"/>
  <c r="B270" i="7" a="1"/>
  <c r="B270" i="7" s="1"/>
  <c r="C269" i="7" a="1"/>
  <c r="C269" i="7" s="1"/>
  <c r="B269" i="7" a="1"/>
  <c r="B269" i="7" s="1"/>
  <c r="C268" i="7" a="1"/>
  <c r="C268" i="7" s="1"/>
  <c r="B268" i="7" a="1"/>
  <c r="B268" i="7" s="1"/>
  <c r="C267" i="7" a="1"/>
  <c r="C267" i="7" s="1"/>
  <c r="B267" i="7" a="1"/>
  <c r="B267" i="7" s="1"/>
  <c r="C266" i="7" a="1"/>
  <c r="C266" i="7" s="1"/>
  <c r="B266" i="7" a="1"/>
  <c r="B266" i="7" s="1"/>
  <c r="C265" i="7" a="1"/>
  <c r="C265" i="7" s="1"/>
  <c r="B265" i="7" a="1"/>
  <c r="B265" i="7" s="1"/>
  <c r="C264" i="7" a="1"/>
  <c r="C264" i="7" s="1"/>
  <c r="B264" i="7" a="1"/>
  <c r="B264" i="7" s="1"/>
  <c r="C263" i="7" a="1"/>
  <c r="C263" i="7" s="1"/>
  <c r="B263" i="7" a="1"/>
  <c r="B263" i="7" s="1"/>
  <c r="C262" i="7" a="1"/>
  <c r="C262" i="7" s="1"/>
  <c r="B262" i="7" a="1"/>
  <c r="B262" i="7" s="1"/>
  <c r="C261" i="7" a="1"/>
  <c r="C261" i="7" s="1"/>
  <c r="B261" i="7" a="1"/>
  <c r="B261" i="7" s="1"/>
  <c r="C260" i="7" a="1"/>
  <c r="C260" i="7" s="1"/>
  <c r="B260" i="7" a="1"/>
  <c r="B260" i="7" s="1"/>
  <c r="C259" i="7" a="1"/>
  <c r="C259" i="7" s="1"/>
  <c r="B259" i="7" a="1"/>
  <c r="B259" i="7" s="1"/>
  <c r="C258" i="7" a="1"/>
  <c r="C258" i="7" s="1"/>
  <c r="B258" i="7" a="1"/>
  <c r="B258" i="7" s="1"/>
  <c r="C257" i="7" a="1"/>
  <c r="C257" i="7" s="1"/>
  <c r="B257" i="7" a="1"/>
  <c r="B257" i="7" s="1"/>
  <c r="C256" i="7" a="1"/>
  <c r="C256" i="7" s="1"/>
  <c r="B256" i="7" a="1"/>
  <c r="B256" i="7" s="1"/>
  <c r="C255" i="7" a="1"/>
  <c r="C255" i="7" s="1"/>
  <c r="B255" i="7" a="1"/>
  <c r="B255" i="7" s="1"/>
  <c r="C254" i="7" a="1"/>
  <c r="C254" i="7" s="1"/>
  <c r="B254" i="7" a="1"/>
  <c r="B254" i="7" s="1"/>
  <c r="C253" i="7" a="1"/>
  <c r="C253" i="7" s="1"/>
  <c r="B253" i="7" a="1"/>
  <c r="B253" i="7" s="1"/>
  <c r="C252" i="7" a="1"/>
  <c r="C252" i="7" s="1"/>
  <c r="B252" i="7" a="1"/>
  <c r="B252" i="7" s="1"/>
  <c r="C251" i="7" a="1"/>
  <c r="C251" i="7" s="1"/>
  <c r="B251" i="7" a="1"/>
  <c r="B251" i="7" s="1"/>
  <c r="C250" i="7" a="1"/>
  <c r="C250" i="7" s="1"/>
  <c r="B250" i="7" a="1"/>
  <c r="B250" i="7" s="1"/>
  <c r="C249" i="7" a="1"/>
  <c r="C249" i="7" s="1"/>
  <c r="B249" i="7" a="1"/>
  <c r="B249" i="7" s="1"/>
  <c r="C248" i="7" a="1"/>
  <c r="C248" i="7" s="1"/>
  <c r="B248" i="7" a="1"/>
  <c r="B248" i="7" s="1"/>
  <c r="C247" i="7" a="1"/>
  <c r="C247" i="7" s="1"/>
  <c r="B247" i="7" a="1"/>
  <c r="B247" i="7" s="1"/>
  <c r="C246" i="7" a="1"/>
  <c r="C246" i="7" s="1"/>
  <c r="B246" i="7" a="1"/>
  <c r="B246" i="7" s="1"/>
  <c r="C245" i="7" a="1"/>
  <c r="C245" i="7" s="1"/>
  <c r="B245" i="7" a="1"/>
  <c r="B245" i="7" s="1"/>
  <c r="C244" i="7" a="1"/>
  <c r="C244" i="7" s="1"/>
  <c r="B244" i="7" a="1"/>
  <c r="B244" i="7" s="1"/>
  <c r="C243" i="7" a="1"/>
  <c r="C243" i="7" s="1"/>
  <c r="B243" i="7" a="1"/>
  <c r="B243" i="7" s="1"/>
  <c r="C242" i="7" a="1"/>
  <c r="C242" i="7" s="1"/>
  <c r="B242" i="7" a="1"/>
  <c r="B242" i="7" s="1"/>
  <c r="C241" i="7" a="1"/>
  <c r="C241" i="7" s="1"/>
  <c r="B241" i="7" a="1"/>
  <c r="B241" i="7" s="1"/>
  <c r="C240" i="7" a="1"/>
  <c r="C240" i="7" s="1"/>
  <c r="B240" i="7" a="1"/>
  <c r="B240" i="7" s="1"/>
  <c r="C239" i="7" a="1"/>
  <c r="C239" i="7" s="1"/>
  <c r="B239" i="7" a="1"/>
  <c r="B239" i="7" s="1"/>
  <c r="C238" i="7" a="1"/>
  <c r="C238" i="7" s="1"/>
  <c r="B238" i="7" a="1"/>
  <c r="B238" i="7" s="1"/>
  <c r="C237" i="7" a="1"/>
  <c r="C237" i="7" s="1"/>
  <c r="B237" i="7" a="1"/>
  <c r="B237" i="7" s="1"/>
  <c r="C236" i="7" a="1"/>
  <c r="C236" i="7" s="1"/>
  <c r="B236" i="7" a="1"/>
  <c r="B236" i="7" s="1"/>
  <c r="C235" i="7" a="1"/>
  <c r="C235" i="7" s="1"/>
  <c r="B235" i="7" a="1"/>
  <c r="B235" i="7" s="1"/>
  <c r="C234" i="7" a="1"/>
  <c r="C234" i="7" s="1"/>
  <c r="B234" i="7" a="1"/>
  <c r="B234" i="7" s="1"/>
  <c r="C233" i="7" a="1"/>
  <c r="C233" i="7" s="1"/>
  <c r="B233" i="7" a="1"/>
  <c r="B233" i="7" s="1"/>
  <c r="C232" i="7" a="1"/>
  <c r="C232" i="7" s="1"/>
  <c r="B232" i="7" a="1"/>
  <c r="B232" i="7" s="1"/>
  <c r="C231" i="7" a="1"/>
  <c r="C231" i="7" s="1"/>
  <c r="B231" i="7" a="1"/>
  <c r="B231" i="7" s="1"/>
  <c r="C230" i="7" a="1"/>
  <c r="C230" i="7" s="1"/>
  <c r="B230" i="7" a="1"/>
  <c r="B230" i="7" s="1"/>
  <c r="C229" i="7" a="1"/>
  <c r="C229" i="7" s="1"/>
  <c r="B229" i="7" a="1"/>
  <c r="B229" i="7" s="1"/>
  <c r="C228" i="7" a="1"/>
  <c r="C228" i="7" s="1"/>
  <c r="B228" i="7" a="1"/>
  <c r="B228" i="7" s="1"/>
  <c r="C227" i="7" a="1"/>
  <c r="C227" i="7" s="1"/>
  <c r="B227" i="7" a="1"/>
  <c r="B227" i="7" s="1"/>
  <c r="C226" i="7" a="1"/>
  <c r="C226" i="7" s="1"/>
  <c r="B226" i="7" a="1"/>
  <c r="B226" i="7" s="1"/>
  <c r="C225" i="7" a="1"/>
  <c r="C225" i="7" s="1"/>
  <c r="B225" i="7" a="1"/>
  <c r="B225" i="7" s="1"/>
  <c r="C224" i="7" a="1"/>
  <c r="C224" i="7" s="1"/>
  <c r="B224" i="7" a="1"/>
  <c r="B224" i="7" s="1"/>
  <c r="C223" i="7" a="1"/>
  <c r="C223" i="7" s="1"/>
  <c r="B223" i="7" a="1"/>
  <c r="B223" i="7" s="1"/>
  <c r="C222" i="7" a="1"/>
  <c r="C222" i="7" s="1"/>
  <c r="B222" i="7" a="1"/>
  <c r="B222" i="7" s="1"/>
  <c r="C221" i="7" a="1"/>
  <c r="C221" i="7" s="1"/>
  <c r="B221" i="7" a="1"/>
  <c r="B221" i="7" s="1"/>
  <c r="C220" i="7" a="1"/>
  <c r="C220" i="7" s="1"/>
  <c r="B220" i="7" a="1"/>
  <c r="B220" i="7" s="1"/>
  <c r="C219" i="7" a="1"/>
  <c r="C219" i="7" s="1"/>
  <c r="B219" i="7" a="1"/>
  <c r="B219" i="7" s="1"/>
  <c r="C218" i="7" a="1"/>
  <c r="C218" i="7" s="1"/>
  <c r="B218" i="7" a="1"/>
  <c r="B218" i="7" s="1"/>
  <c r="C217" i="7" a="1"/>
  <c r="C217" i="7" s="1"/>
  <c r="B217" i="7" a="1"/>
  <c r="B217" i="7" s="1"/>
  <c r="C216" i="7" a="1"/>
  <c r="C216" i="7" s="1"/>
  <c r="B216" i="7" a="1"/>
  <c r="B216" i="7" s="1"/>
  <c r="C215" i="7" a="1"/>
  <c r="C215" i="7" s="1"/>
  <c r="B215" i="7" a="1"/>
  <c r="B215" i="7" s="1"/>
  <c r="C214" i="7" a="1"/>
  <c r="C214" i="7" s="1"/>
  <c r="B214" i="7" a="1"/>
  <c r="B214" i="7" s="1"/>
  <c r="C213" i="7" a="1"/>
  <c r="C213" i="7" s="1"/>
  <c r="B213" i="7" a="1"/>
  <c r="B213" i="7" s="1"/>
  <c r="C212" i="7" a="1"/>
  <c r="C212" i="7" s="1"/>
  <c r="B212" i="7" a="1"/>
  <c r="B212" i="7" s="1"/>
  <c r="C211" i="7" a="1"/>
  <c r="C211" i="7" s="1"/>
  <c r="B211" i="7" a="1"/>
  <c r="B211" i="7" s="1"/>
  <c r="C210" i="7" a="1"/>
  <c r="C210" i="7" s="1"/>
  <c r="B210" i="7" a="1"/>
  <c r="B210" i="7" s="1"/>
  <c r="C209" i="7" a="1"/>
  <c r="C209" i="7" s="1"/>
  <c r="B209" i="7" a="1"/>
  <c r="B209" i="7" s="1"/>
  <c r="C208" i="7" a="1"/>
  <c r="C208" i="7" s="1"/>
  <c r="B208" i="7" a="1"/>
  <c r="B208" i="7" s="1"/>
  <c r="C207" i="7" a="1"/>
  <c r="C207" i="7" s="1"/>
  <c r="B207" i="7" a="1"/>
  <c r="B207" i="7" s="1"/>
  <c r="C206" i="7" a="1"/>
  <c r="C206" i="7" s="1"/>
  <c r="B206" i="7" a="1"/>
  <c r="B206" i="7" s="1"/>
  <c r="C205" i="7" a="1"/>
  <c r="C205" i="7" s="1"/>
  <c r="B205" i="7" a="1"/>
  <c r="B205" i="7" s="1"/>
  <c r="C204" i="7" a="1"/>
  <c r="C204" i="7" s="1"/>
  <c r="B204" i="7" a="1"/>
  <c r="B204" i="7" s="1"/>
  <c r="C203" i="7" a="1"/>
  <c r="C203" i="7" s="1"/>
  <c r="B203" i="7" a="1"/>
  <c r="B203" i="7" s="1"/>
  <c r="C202" i="7" a="1"/>
  <c r="C202" i="7" s="1"/>
  <c r="B202" i="7" a="1"/>
  <c r="B202" i="7" s="1"/>
  <c r="C201" i="7" a="1"/>
  <c r="C201" i="7" s="1"/>
  <c r="B201" i="7" a="1"/>
  <c r="B201" i="7" s="1"/>
  <c r="C200" i="7" a="1"/>
  <c r="C200" i="7" s="1"/>
  <c r="B200" i="7" a="1"/>
  <c r="B200" i="7" s="1"/>
  <c r="C199" i="7" a="1"/>
  <c r="C199" i="7" s="1"/>
  <c r="B199" i="7" a="1"/>
  <c r="B199" i="7" s="1"/>
  <c r="C198" i="7" a="1"/>
  <c r="C198" i="7" s="1"/>
  <c r="B198" i="7" a="1"/>
  <c r="B198" i="7" s="1"/>
  <c r="C197" i="7" a="1"/>
  <c r="C197" i="7" s="1"/>
  <c r="B197" i="7" a="1"/>
  <c r="B197" i="7" s="1"/>
  <c r="C196" i="7" a="1"/>
  <c r="C196" i="7" s="1"/>
  <c r="B196" i="7" a="1"/>
  <c r="B196" i="7" s="1"/>
  <c r="C195" i="7" a="1"/>
  <c r="C195" i="7" s="1"/>
  <c r="B195" i="7" a="1"/>
  <c r="B195" i="7" s="1"/>
  <c r="C194" i="7" a="1"/>
  <c r="C194" i="7" s="1"/>
  <c r="B194" i="7" a="1"/>
  <c r="B194" i="7" s="1"/>
  <c r="C193" i="7" a="1"/>
  <c r="C193" i="7" s="1"/>
  <c r="B193" i="7" a="1"/>
  <c r="B193" i="7" s="1"/>
  <c r="C192" i="7" a="1"/>
  <c r="C192" i="7" s="1"/>
  <c r="B192" i="7" a="1"/>
  <c r="B192" i="7" s="1"/>
  <c r="C191" i="7" a="1"/>
  <c r="C191" i="7" s="1"/>
  <c r="B191" i="7" a="1"/>
  <c r="B191" i="7" s="1"/>
  <c r="C190" i="7" a="1"/>
  <c r="C190" i="7" s="1"/>
  <c r="B190" i="7" a="1"/>
  <c r="B190" i="7" s="1"/>
  <c r="C189" i="7" a="1"/>
  <c r="C189" i="7" s="1"/>
  <c r="B189" i="7" a="1"/>
  <c r="B189" i="7" s="1"/>
  <c r="C188" i="7" a="1"/>
  <c r="C188" i="7" s="1"/>
  <c r="B188" i="7" a="1"/>
  <c r="B188" i="7" s="1"/>
  <c r="C187" i="7" a="1"/>
  <c r="C187" i="7" s="1"/>
  <c r="B187" i="7" a="1"/>
  <c r="B187" i="7" s="1"/>
  <c r="C186" i="7" a="1"/>
  <c r="C186" i="7" s="1"/>
  <c r="B186" i="7" a="1"/>
  <c r="B186" i="7" s="1"/>
  <c r="C185" i="7" a="1"/>
  <c r="C185" i="7" s="1"/>
  <c r="B185" i="7" a="1"/>
  <c r="B185" i="7" s="1"/>
  <c r="C184" i="7" a="1"/>
  <c r="C184" i="7" s="1"/>
  <c r="B184" i="7" a="1"/>
  <c r="B184" i="7" s="1"/>
  <c r="C183" i="7" a="1"/>
  <c r="C183" i="7" s="1"/>
  <c r="B183" i="7" a="1"/>
  <c r="B183" i="7" s="1"/>
  <c r="C182" i="7" a="1"/>
  <c r="C182" i="7" s="1"/>
  <c r="B182" i="7" a="1"/>
  <c r="B182" i="7" s="1"/>
  <c r="C181" i="7" a="1"/>
  <c r="C181" i="7" s="1"/>
  <c r="B181" i="7" a="1"/>
  <c r="B181" i="7" s="1"/>
  <c r="C180" i="7" a="1"/>
  <c r="C180" i="7" s="1"/>
  <c r="B180" i="7" a="1"/>
  <c r="B180" i="7" s="1"/>
  <c r="C179" i="7" a="1"/>
  <c r="C179" i="7" s="1"/>
  <c r="B179" i="7" a="1"/>
  <c r="B179" i="7" s="1"/>
  <c r="C178" i="7" a="1"/>
  <c r="C178" i="7" s="1"/>
  <c r="B178" i="7" a="1"/>
  <c r="B178" i="7" s="1"/>
  <c r="C177" i="7" a="1"/>
  <c r="C177" i="7" s="1"/>
  <c r="B177" i="7" a="1"/>
  <c r="B177" i="7" s="1"/>
  <c r="C176" i="7" a="1"/>
  <c r="C176" i="7" s="1"/>
  <c r="B176" i="7" a="1"/>
  <c r="B176" i="7" s="1"/>
  <c r="C175" i="7" a="1"/>
  <c r="C175" i="7" s="1"/>
  <c r="B175" i="7" a="1"/>
  <c r="B175" i="7" s="1"/>
  <c r="C174" i="7" a="1"/>
  <c r="C174" i="7" s="1"/>
  <c r="B174" i="7" a="1"/>
  <c r="B174" i="7" s="1"/>
  <c r="C173" i="7" a="1"/>
  <c r="C173" i="7" s="1"/>
  <c r="B173" i="7" a="1"/>
  <c r="B173" i="7" s="1"/>
  <c r="C172" i="7" a="1"/>
  <c r="C172" i="7" s="1"/>
  <c r="B172" i="7" a="1"/>
  <c r="B172" i="7" s="1"/>
  <c r="C171" i="7" a="1"/>
  <c r="C171" i="7" s="1"/>
  <c r="B171" i="7" a="1"/>
  <c r="B171" i="7" s="1"/>
  <c r="C170" i="7" a="1"/>
  <c r="C170" i="7" s="1"/>
  <c r="B170" i="7" a="1"/>
  <c r="B170" i="7" s="1"/>
  <c r="C169" i="7" a="1"/>
  <c r="C169" i="7" s="1"/>
  <c r="B169" i="7" a="1"/>
  <c r="B169" i="7" s="1"/>
  <c r="C168" i="7" a="1"/>
  <c r="C168" i="7" s="1"/>
  <c r="B168" i="7" a="1"/>
  <c r="B168" i="7" s="1"/>
  <c r="C167" i="7" a="1"/>
  <c r="C167" i="7" s="1"/>
  <c r="B167" i="7" a="1"/>
  <c r="B167" i="7" s="1"/>
  <c r="C166" i="7" a="1"/>
  <c r="C166" i="7" s="1"/>
  <c r="B166" i="7" a="1"/>
  <c r="B166" i="7" s="1"/>
  <c r="C165" i="7" a="1"/>
  <c r="C165" i="7" s="1"/>
  <c r="B165" i="7" a="1"/>
  <c r="B165" i="7" s="1"/>
  <c r="C164" i="7" a="1"/>
  <c r="C164" i="7" s="1"/>
  <c r="B164" i="7" a="1"/>
  <c r="B164" i="7" s="1"/>
  <c r="C163" i="7" a="1"/>
  <c r="C163" i="7" s="1"/>
  <c r="B163" i="7" a="1"/>
  <c r="B163" i="7" s="1"/>
  <c r="C162" i="7" a="1"/>
  <c r="C162" i="7" s="1"/>
  <c r="B162" i="7" a="1"/>
  <c r="B162" i="7" s="1"/>
  <c r="C161" i="7" a="1"/>
  <c r="C161" i="7" s="1"/>
  <c r="B161" i="7" a="1"/>
  <c r="B161" i="7" s="1"/>
  <c r="C160" i="7" a="1"/>
  <c r="C160" i="7" s="1"/>
  <c r="B160" i="7" a="1"/>
  <c r="B160" i="7" s="1"/>
  <c r="C159" i="7" a="1"/>
  <c r="C159" i="7" s="1"/>
  <c r="B159" i="7" a="1"/>
  <c r="B159" i="7" s="1"/>
  <c r="C158" i="7" a="1"/>
  <c r="C158" i="7" s="1"/>
  <c r="B158" i="7" a="1"/>
  <c r="B158" i="7" s="1"/>
  <c r="C157" i="7" a="1"/>
  <c r="C157" i="7" s="1"/>
  <c r="B157" i="7" a="1"/>
  <c r="B157" i="7" s="1"/>
  <c r="C156" i="7" a="1"/>
  <c r="C156" i="7" s="1"/>
  <c r="B156" i="7" a="1"/>
  <c r="B156" i="7" s="1"/>
  <c r="C155" i="7" a="1"/>
  <c r="C155" i="7" s="1"/>
  <c r="B155" i="7" a="1"/>
  <c r="B155" i="7" s="1"/>
  <c r="C154" i="7" a="1"/>
  <c r="C154" i="7" s="1"/>
  <c r="B154" i="7" a="1"/>
  <c r="B154" i="7" s="1"/>
  <c r="C153" i="7" a="1"/>
  <c r="C153" i="7" s="1"/>
  <c r="B153" i="7" a="1"/>
  <c r="B153" i="7" s="1"/>
  <c r="C152" i="7" a="1"/>
  <c r="C152" i="7" s="1"/>
  <c r="B152" i="7" a="1"/>
  <c r="B152" i="7" s="1"/>
  <c r="C151" i="7" a="1"/>
  <c r="C151" i="7" s="1"/>
  <c r="B151" i="7" a="1"/>
  <c r="B151" i="7" s="1"/>
  <c r="C150" i="7" a="1"/>
  <c r="C150" i="7" s="1"/>
  <c r="B150" i="7" a="1"/>
  <c r="B150" i="7" s="1"/>
  <c r="C149" i="7" a="1"/>
  <c r="C149" i="7" s="1"/>
  <c r="B149" i="7" a="1"/>
  <c r="B149" i="7" s="1"/>
  <c r="C148" i="7" a="1"/>
  <c r="C148" i="7" s="1"/>
  <c r="B148" i="7" a="1"/>
  <c r="B148" i="7" s="1"/>
  <c r="C147" i="7" a="1"/>
  <c r="C147" i="7" s="1"/>
  <c r="B147" i="7" a="1"/>
  <c r="B147" i="7" s="1"/>
  <c r="C146" i="7" a="1"/>
  <c r="C146" i="7" s="1"/>
  <c r="B146" i="7" a="1"/>
  <c r="B146" i="7" s="1"/>
  <c r="C145" i="7" a="1"/>
  <c r="C145" i="7" s="1"/>
  <c r="B145" i="7" a="1"/>
  <c r="B145" i="7" s="1"/>
  <c r="C144" i="7" a="1"/>
  <c r="C144" i="7" s="1"/>
  <c r="B144" i="7" a="1"/>
  <c r="B144" i="7" s="1"/>
  <c r="C143" i="7" a="1"/>
  <c r="C143" i="7" s="1"/>
  <c r="B143" i="7" a="1"/>
  <c r="B143" i="7" s="1"/>
  <c r="C142" i="7" a="1"/>
  <c r="C142" i="7" s="1"/>
  <c r="B142" i="7" a="1"/>
  <c r="B142" i="7" s="1"/>
  <c r="C141" i="7" a="1"/>
  <c r="C141" i="7" s="1"/>
  <c r="B141" i="7" a="1"/>
  <c r="B141" i="7" s="1"/>
  <c r="C140" i="7" a="1"/>
  <c r="C140" i="7" s="1"/>
  <c r="B140" i="7" a="1"/>
  <c r="B140" i="7" s="1"/>
  <c r="C139" i="7" a="1"/>
  <c r="C139" i="7" s="1"/>
  <c r="B139" i="7" a="1"/>
  <c r="B139" i="7" s="1"/>
  <c r="C138" i="7" a="1"/>
  <c r="C138" i="7" s="1"/>
  <c r="B138" i="7" a="1"/>
  <c r="B138" i="7" s="1"/>
  <c r="C137" i="7" a="1"/>
  <c r="C137" i="7" s="1"/>
  <c r="B137" i="7" a="1"/>
  <c r="B137" i="7" s="1"/>
  <c r="C136" i="7" a="1"/>
  <c r="C136" i="7" s="1"/>
  <c r="B136" i="7" a="1"/>
  <c r="B136" i="7" s="1"/>
  <c r="C135" i="7" a="1"/>
  <c r="C135" i="7" s="1"/>
  <c r="B135" i="7" a="1"/>
  <c r="B135" i="7" s="1"/>
  <c r="C134" i="7" a="1"/>
  <c r="C134" i="7" s="1"/>
  <c r="B134" i="7" a="1"/>
  <c r="B134" i="7" s="1"/>
  <c r="C133" i="7" a="1"/>
  <c r="C133" i="7" s="1"/>
  <c r="B133" i="7" a="1"/>
  <c r="B133" i="7" s="1"/>
  <c r="C132" i="7" a="1"/>
  <c r="C132" i="7" s="1"/>
  <c r="B132" i="7" a="1"/>
  <c r="B132" i="7" s="1"/>
  <c r="C131" i="7" a="1"/>
  <c r="C131" i="7" s="1"/>
  <c r="B131" i="7" a="1"/>
  <c r="B131" i="7" s="1"/>
  <c r="C130" i="7" a="1"/>
  <c r="C130" i="7" s="1"/>
  <c r="B130" i="7" a="1"/>
  <c r="B130" i="7" s="1"/>
  <c r="C129" i="7" a="1"/>
  <c r="C129" i="7" s="1"/>
  <c r="B129" i="7" a="1"/>
  <c r="B129" i="7" s="1"/>
  <c r="C128" i="7" a="1"/>
  <c r="C128" i="7" s="1"/>
  <c r="B128" i="7" a="1"/>
  <c r="B128" i="7" s="1"/>
  <c r="C127" i="7" a="1"/>
  <c r="C127" i="7" s="1"/>
  <c r="B127" i="7" a="1"/>
  <c r="B127" i="7" s="1"/>
  <c r="C126" i="7" a="1"/>
  <c r="C126" i="7" s="1"/>
  <c r="B126" i="7" a="1"/>
  <c r="B126" i="7" s="1"/>
  <c r="C125" i="7" a="1"/>
  <c r="C125" i="7" s="1"/>
  <c r="B125" i="7" a="1"/>
  <c r="B125" i="7" s="1"/>
  <c r="C124" i="7" a="1"/>
  <c r="C124" i="7" s="1"/>
  <c r="B124" i="7" a="1"/>
  <c r="B124" i="7" s="1"/>
  <c r="C123" i="7" a="1"/>
  <c r="C123" i="7" s="1"/>
  <c r="B123" i="7" a="1"/>
  <c r="B123" i="7" s="1"/>
  <c r="C122" i="7" a="1"/>
  <c r="C122" i="7" s="1"/>
  <c r="B122" i="7" a="1"/>
  <c r="B122" i="7" s="1"/>
  <c r="C121" i="7" a="1"/>
  <c r="C121" i="7" s="1"/>
  <c r="B121" i="7" a="1"/>
  <c r="B121" i="7" s="1"/>
  <c r="C120" i="7" a="1"/>
  <c r="C120" i="7" s="1"/>
  <c r="B120" i="7" a="1"/>
  <c r="B120" i="7" s="1"/>
  <c r="C119" i="7" a="1"/>
  <c r="C119" i="7" s="1"/>
  <c r="B119" i="7" a="1"/>
  <c r="B119" i="7" s="1"/>
  <c r="C118" i="7" a="1"/>
  <c r="C118" i="7" s="1"/>
  <c r="B118" i="7" a="1"/>
  <c r="B118" i="7" s="1"/>
  <c r="C117" i="7" a="1"/>
  <c r="C117" i="7" s="1"/>
  <c r="B117" i="7" a="1"/>
  <c r="B117" i="7" s="1"/>
  <c r="C116" i="7" a="1"/>
  <c r="C116" i="7" s="1"/>
  <c r="B116" i="7" a="1"/>
  <c r="B116" i="7" s="1"/>
  <c r="C115" i="7" a="1"/>
  <c r="C115" i="7" s="1"/>
  <c r="B115" i="7" a="1"/>
  <c r="B115" i="7" s="1"/>
  <c r="C114" i="7" a="1"/>
  <c r="C114" i="7" s="1"/>
  <c r="B114" i="7" a="1"/>
  <c r="B114" i="7" s="1"/>
  <c r="C113" i="7" a="1"/>
  <c r="C113" i="7" s="1"/>
  <c r="B113" i="7" a="1"/>
  <c r="B113" i="7" s="1"/>
  <c r="C112" i="7" a="1"/>
  <c r="C112" i="7" s="1"/>
  <c r="B112" i="7" a="1"/>
  <c r="B112" i="7" s="1"/>
  <c r="C111" i="7" a="1"/>
  <c r="C111" i="7" s="1"/>
  <c r="B111" i="7" a="1"/>
  <c r="B111" i="7" s="1"/>
  <c r="A111" i="7"/>
  <c r="C110" i="7" a="1"/>
  <c r="C110" i="7" s="1"/>
  <c r="B110" i="7" a="1"/>
  <c r="B110" i="7" s="1"/>
  <c r="A110" i="7"/>
  <c r="C109" i="7" a="1"/>
  <c r="C109" i="7" s="1"/>
  <c r="B109" i="7" a="1"/>
  <c r="B109" i="7" s="1"/>
  <c r="A109" i="7"/>
  <c r="C108" i="7" a="1"/>
  <c r="C108" i="7" s="1"/>
  <c r="B108" i="7" a="1"/>
  <c r="B108" i="7" s="1"/>
  <c r="A108" i="7"/>
  <c r="C107" i="7" a="1"/>
  <c r="C107" i="7" s="1"/>
  <c r="B107" i="7" a="1"/>
  <c r="B107" i="7" s="1"/>
  <c r="A107" i="7"/>
  <c r="C106" i="7" a="1"/>
  <c r="C106" i="7" s="1"/>
  <c r="B106" i="7" a="1"/>
  <c r="B106" i="7" s="1"/>
  <c r="A106" i="7"/>
  <c r="C105" i="7" a="1"/>
  <c r="C105" i="7" s="1"/>
  <c r="B105" i="7" a="1"/>
  <c r="B105" i="7" s="1"/>
  <c r="A105" i="7"/>
  <c r="C104" i="7" a="1"/>
  <c r="C104" i="7" s="1"/>
  <c r="B104" i="7" a="1"/>
  <c r="B104" i="7" s="1"/>
  <c r="A104" i="7"/>
  <c r="C103" i="7" a="1"/>
  <c r="C103" i="7" s="1"/>
  <c r="B103" i="7" a="1"/>
  <c r="B103" i="7" s="1"/>
  <c r="A103" i="7"/>
  <c r="C102" i="7" a="1"/>
  <c r="C102" i="7" s="1"/>
  <c r="B102" i="7" a="1"/>
  <c r="B102" i="7" s="1"/>
  <c r="A102" i="7"/>
  <c r="C101" i="7" a="1"/>
  <c r="C101" i="7" s="1"/>
  <c r="B101" i="7" a="1"/>
  <c r="B101" i="7" s="1"/>
  <c r="A101" i="7"/>
  <c r="C100" i="7" a="1"/>
  <c r="C100" i="7" s="1"/>
  <c r="B100" i="7" a="1"/>
  <c r="B100" i="7" s="1"/>
  <c r="A100" i="7"/>
  <c r="N99" i="7" a="1"/>
  <c r="N99" i="7" s="1"/>
  <c r="C99" i="7" a="1"/>
  <c r="C99" i="7" s="1"/>
  <c r="B99" i="7" a="1"/>
  <c r="B99" i="7" s="1"/>
  <c r="A99" i="7"/>
  <c r="N98" i="7" a="1"/>
  <c r="N98" i="7" s="1"/>
  <c r="C98" i="7" a="1"/>
  <c r="C98" i="7" s="1"/>
  <c r="B98" i="7" a="1"/>
  <c r="B98" i="7" s="1"/>
  <c r="A98" i="7"/>
  <c r="N97" i="7" a="1"/>
  <c r="N97" i="7" s="1"/>
  <c r="C97" i="7" a="1"/>
  <c r="C97" i="7" s="1"/>
  <c r="B97" i="7" a="1"/>
  <c r="B97" i="7" s="1"/>
  <c r="A97" i="7"/>
  <c r="N96" i="7" a="1"/>
  <c r="N96" i="7" s="1"/>
  <c r="C96" i="7" a="1"/>
  <c r="C96" i="7" s="1"/>
  <c r="B96" i="7" a="1"/>
  <c r="B96" i="7" s="1"/>
  <c r="A96" i="7"/>
  <c r="N95" i="7" a="1"/>
  <c r="N95" i="7" s="1"/>
  <c r="C95" i="7" a="1"/>
  <c r="C95" i="7" s="1"/>
  <c r="B95" i="7" a="1"/>
  <c r="B95" i="7" s="1"/>
  <c r="A95" i="7"/>
  <c r="N94" i="7" a="1"/>
  <c r="N94" i="7" s="1"/>
  <c r="C94" i="7" a="1"/>
  <c r="C94" i="7" s="1"/>
  <c r="B94" i="7" a="1"/>
  <c r="B94" i="7" s="1"/>
  <c r="A94" i="7"/>
  <c r="N93" i="7" a="1"/>
  <c r="N93" i="7" s="1"/>
  <c r="C93" i="7" a="1"/>
  <c r="C93" i="7" s="1"/>
  <c r="B93" i="7" a="1"/>
  <c r="B93" i="7" s="1"/>
  <c r="A93" i="7"/>
  <c r="N92" i="7" a="1"/>
  <c r="N92" i="7" s="1"/>
  <c r="C92" i="7" a="1"/>
  <c r="C92" i="7" s="1"/>
  <c r="B92" i="7" a="1"/>
  <c r="B92" i="7" s="1"/>
  <c r="A92" i="7"/>
  <c r="N91" i="7" a="1"/>
  <c r="N91" i="7" s="1"/>
  <c r="C91" i="7" a="1"/>
  <c r="C91" i="7" s="1"/>
  <c r="B91" i="7" a="1"/>
  <c r="B91" i="7" s="1"/>
  <c r="A91" i="7"/>
  <c r="N90" i="7" a="1"/>
  <c r="N90" i="7" s="1"/>
  <c r="C90" i="7" a="1"/>
  <c r="C90" i="7" s="1"/>
  <c r="B90" i="7" a="1"/>
  <c r="B90" i="7" s="1"/>
  <c r="A90" i="7"/>
  <c r="N89" i="7" a="1"/>
  <c r="N89" i="7" s="1"/>
  <c r="C89" i="7" a="1"/>
  <c r="C89" i="7" s="1"/>
  <c r="B89" i="7" a="1"/>
  <c r="B89" i="7" s="1"/>
  <c r="A89" i="7"/>
  <c r="N88" i="7" a="1"/>
  <c r="N88" i="7" s="1"/>
  <c r="C88" i="7" a="1"/>
  <c r="C88" i="7" s="1"/>
  <c r="B88" i="7" a="1"/>
  <c r="B88" i="7" s="1"/>
  <c r="A88" i="7"/>
  <c r="N87" i="7" a="1"/>
  <c r="N87" i="7" s="1"/>
  <c r="C87" i="7" a="1"/>
  <c r="C87" i="7" s="1"/>
  <c r="B87" i="7" a="1"/>
  <c r="B87" i="7" s="1"/>
  <c r="A87" i="7"/>
  <c r="N86" i="7" a="1"/>
  <c r="N86" i="7" s="1"/>
  <c r="C86" i="7" a="1"/>
  <c r="C86" i="7" s="1"/>
  <c r="B86" i="7" a="1"/>
  <c r="B86" i="7" s="1"/>
  <c r="A86" i="7"/>
  <c r="N85" i="7" a="1"/>
  <c r="N85" i="7" s="1"/>
  <c r="C85" i="7" a="1"/>
  <c r="C85" i="7" s="1"/>
  <c r="B85" i="7" a="1"/>
  <c r="B85" i="7" s="1"/>
  <c r="A85" i="7"/>
  <c r="N84" i="7" a="1"/>
  <c r="N84" i="7" s="1"/>
  <c r="C84" i="7" a="1"/>
  <c r="C84" i="7" s="1"/>
  <c r="B84" i="7" a="1"/>
  <c r="B84" i="7" s="1"/>
  <c r="A84" i="7"/>
  <c r="N83" i="7" a="1"/>
  <c r="N83" i="7" s="1"/>
  <c r="C83" i="7" a="1"/>
  <c r="C83" i="7" s="1"/>
  <c r="B83" i="7" a="1"/>
  <c r="B83" i="7" s="1"/>
  <c r="A83" i="7"/>
  <c r="N82" i="7" a="1"/>
  <c r="N82" i="7" s="1"/>
  <c r="C82" i="7" a="1"/>
  <c r="C82" i="7" s="1"/>
  <c r="B82" i="7" a="1"/>
  <c r="B82" i="7" s="1"/>
  <c r="A82" i="7"/>
  <c r="N81" i="7" a="1"/>
  <c r="N81" i="7" s="1"/>
  <c r="C81" i="7" a="1"/>
  <c r="C81" i="7" s="1"/>
  <c r="B81" i="7" a="1"/>
  <c r="B81" i="7" s="1"/>
  <c r="A81" i="7"/>
  <c r="N80" i="7" a="1"/>
  <c r="N80" i="7" s="1"/>
  <c r="C80" i="7" a="1"/>
  <c r="C80" i="7" s="1"/>
  <c r="B80" i="7" a="1"/>
  <c r="B80" i="7" s="1"/>
  <c r="A80" i="7"/>
  <c r="N79" i="7" a="1"/>
  <c r="N79" i="7" s="1"/>
  <c r="C79" i="7" a="1"/>
  <c r="C79" i="7" s="1"/>
  <c r="B79" i="7" a="1"/>
  <c r="B79" i="7" s="1"/>
  <c r="A79" i="7"/>
  <c r="N78" i="7" a="1"/>
  <c r="N78" i="7" s="1"/>
  <c r="C78" i="7" a="1"/>
  <c r="C78" i="7" s="1"/>
  <c r="B78" i="7" a="1"/>
  <c r="B78" i="7" s="1"/>
  <c r="A78" i="7"/>
  <c r="N77" i="7" a="1"/>
  <c r="N77" i="7" s="1"/>
  <c r="C77" i="7" a="1"/>
  <c r="C77" i="7" s="1"/>
  <c r="B77" i="7" a="1"/>
  <c r="B77" i="7" s="1"/>
  <c r="A77" i="7"/>
  <c r="N76" i="7" a="1"/>
  <c r="N76" i="7" s="1"/>
  <c r="C76" i="7" a="1"/>
  <c r="C76" i="7" s="1"/>
  <c r="B76" i="7" a="1"/>
  <c r="B76" i="7" s="1"/>
  <c r="A76" i="7"/>
  <c r="N75" i="7" a="1"/>
  <c r="N75" i="7" s="1"/>
  <c r="C75" i="7" a="1"/>
  <c r="C75" i="7" s="1"/>
  <c r="B75" i="7" a="1"/>
  <c r="B75" i="7" s="1"/>
  <c r="A75" i="7"/>
  <c r="N74" i="7" a="1"/>
  <c r="N74" i="7" s="1"/>
  <c r="C74" i="7" a="1"/>
  <c r="C74" i="7" s="1"/>
  <c r="B74" i="7" a="1"/>
  <c r="B74" i="7" s="1"/>
  <c r="A74" i="7"/>
  <c r="N73" i="7" a="1"/>
  <c r="N73" i="7" s="1"/>
  <c r="C73" i="7" a="1"/>
  <c r="C73" i="7" s="1"/>
  <c r="B73" i="7" a="1"/>
  <c r="B73" i="7" s="1"/>
  <c r="A73" i="7"/>
  <c r="N72" i="7" a="1"/>
  <c r="N72" i="7" s="1"/>
  <c r="C72" i="7" a="1"/>
  <c r="C72" i="7" s="1"/>
  <c r="B72" i="7" a="1"/>
  <c r="B72" i="7" s="1"/>
  <c r="A72" i="7"/>
  <c r="N71" i="7" a="1"/>
  <c r="N71" i="7" s="1"/>
  <c r="C71" i="7" a="1"/>
  <c r="C71" i="7" s="1"/>
  <c r="B71" i="7" a="1"/>
  <c r="B71" i="7" s="1"/>
  <c r="A71" i="7"/>
  <c r="N70" i="7" a="1"/>
  <c r="N70" i="7" s="1"/>
  <c r="C70" i="7" a="1"/>
  <c r="C70" i="7" s="1"/>
  <c r="B70" i="7" a="1"/>
  <c r="B70" i="7" s="1"/>
  <c r="A70" i="7"/>
  <c r="N69" i="7" a="1"/>
  <c r="N69" i="7" s="1"/>
  <c r="C69" i="7" a="1"/>
  <c r="C69" i="7" s="1"/>
  <c r="B69" i="7" a="1"/>
  <c r="B69" i="7" s="1"/>
  <c r="A69" i="7"/>
  <c r="N68" i="7" a="1"/>
  <c r="N68" i="7" s="1"/>
  <c r="C68" i="7" a="1"/>
  <c r="C68" i="7" s="1"/>
  <c r="B68" i="7" a="1"/>
  <c r="B68" i="7" s="1"/>
  <c r="A68" i="7"/>
  <c r="N67" i="7" a="1"/>
  <c r="N67" i="7" s="1"/>
  <c r="C67" i="7" a="1"/>
  <c r="C67" i="7" s="1"/>
  <c r="B67" i="7" a="1"/>
  <c r="B67" i="7" s="1"/>
  <c r="A67" i="7"/>
  <c r="N66" i="7" a="1"/>
  <c r="N66" i="7" s="1"/>
  <c r="C66" i="7" a="1"/>
  <c r="C66" i="7" s="1"/>
  <c r="B66" i="7" a="1"/>
  <c r="B66" i="7" s="1"/>
  <c r="A66" i="7"/>
  <c r="N65" i="7" a="1"/>
  <c r="N65" i="7" s="1"/>
  <c r="C65" i="7" a="1"/>
  <c r="C65" i="7" s="1"/>
  <c r="B65" i="7" a="1"/>
  <c r="B65" i="7" s="1"/>
  <c r="A65" i="7"/>
  <c r="N64" i="7" a="1"/>
  <c r="N64" i="7" s="1"/>
  <c r="C64" i="7" a="1"/>
  <c r="C64" i="7" s="1"/>
  <c r="B64" i="7" a="1"/>
  <c r="B64" i="7" s="1"/>
  <c r="A64" i="7"/>
  <c r="N63" i="7" a="1"/>
  <c r="N63" i="7" s="1"/>
  <c r="C63" i="7" a="1"/>
  <c r="C63" i="7" s="1"/>
  <c r="B63" i="7" a="1"/>
  <c r="B63" i="7" s="1"/>
  <c r="A63" i="7"/>
  <c r="N62" i="7" a="1"/>
  <c r="N62" i="7" s="1"/>
  <c r="C62" i="7" a="1"/>
  <c r="C62" i="7" s="1"/>
  <c r="B62" i="7" a="1"/>
  <c r="B62" i="7" s="1"/>
  <c r="A62" i="7"/>
  <c r="N61" i="7" a="1"/>
  <c r="N61" i="7" s="1"/>
  <c r="C61" i="7" a="1"/>
  <c r="C61" i="7" s="1"/>
  <c r="B61" i="7" a="1"/>
  <c r="B61" i="7" s="1"/>
  <c r="A61" i="7"/>
  <c r="N60" i="7" a="1"/>
  <c r="N60" i="7" s="1"/>
  <c r="C60" i="7" a="1"/>
  <c r="C60" i="7" s="1"/>
  <c r="B60" i="7" a="1"/>
  <c r="B60" i="7" s="1"/>
  <c r="A60" i="7"/>
  <c r="N59" i="7" a="1"/>
  <c r="N59" i="7" s="1"/>
  <c r="C59" i="7" a="1"/>
  <c r="C59" i="7" s="1"/>
  <c r="B59" i="7" a="1"/>
  <c r="B59" i="7" s="1"/>
  <c r="A59" i="7"/>
  <c r="N58" i="7" a="1"/>
  <c r="N58" i="7" s="1"/>
  <c r="C58" i="7" a="1"/>
  <c r="C58" i="7" s="1"/>
  <c r="B58" i="7" a="1"/>
  <c r="B58" i="7" s="1"/>
  <c r="A58" i="7"/>
  <c r="N57" i="7" a="1"/>
  <c r="N57" i="7" s="1"/>
  <c r="C57" i="7" a="1"/>
  <c r="C57" i="7" s="1"/>
  <c r="B57" i="7" a="1"/>
  <c r="B57" i="7" s="1"/>
  <c r="A57" i="7"/>
  <c r="N56" i="7" a="1"/>
  <c r="N56" i="7" s="1"/>
  <c r="C56" i="7" a="1"/>
  <c r="C56" i="7" s="1"/>
  <c r="B56" i="7" a="1"/>
  <c r="B56" i="7" s="1"/>
  <c r="A56" i="7"/>
  <c r="N55" i="7" a="1"/>
  <c r="N55" i="7" s="1"/>
  <c r="C55" i="7" a="1"/>
  <c r="C55" i="7" s="1"/>
  <c r="B55" i="7" a="1"/>
  <c r="B55" i="7" s="1"/>
  <c r="A55" i="7"/>
  <c r="N54" i="7" a="1"/>
  <c r="N54" i="7" s="1"/>
  <c r="C54" i="7" a="1"/>
  <c r="C54" i="7" s="1"/>
  <c r="B54" i="7" a="1"/>
  <c r="B54" i="7" s="1"/>
  <c r="A54" i="7"/>
  <c r="N53" i="7" a="1"/>
  <c r="N53" i="7" s="1"/>
  <c r="C53" i="7" a="1"/>
  <c r="C53" i="7" s="1"/>
  <c r="B53" i="7" a="1"/>
  <c r="B53" i="7" s="1"/>
  <c r="A53" i="7"/>
  <c r="N52" i="7" a="1"/>
  <c r="N52" i="7" s="1"/>
  <c r="C52" i="7" a="1"/>
  <c r="C52" i="7" s="1"/>
  <c r="B52" i="7" a="1"/>
  <c r="B52" i="7" s="1"/>
  <c r="A52" i="7"/>
  <c r="N51" i="7" a="1"/>
  <c r="N51" i="7" s="1"/>
  <c r="C51" i="7" a="1"/>
  <c r="C51" i="7" s="1"/>
  <c r="B51" i="7" a="1"/>
  <c r="B51" i="7" s="1"/>
  <c r="A51" i="7"/>
  <c r="N50" i="7" a="1"/>
  <c r="N50" i="7" s="1"/>
  <c r="C50" i="7" a="1"/>
  <c r="C50" i="7" s="1"/>
  <c r="B50" i="7" a="1"/>
  <c r="B50" i="7" s="1"/>
  <c r="A50" i="7"/>
  <c r="N49" i="7" a="1"/>
  <c r="N49" i="7" s="1"/>
  <c r="C49" i="7" a="1"/>
  <c r="C49" i="7" s="1"/>
  <c r="B49" i="7" a="1"/>
  <c r="B49" i="7" s="1"/>
  <c r="A49" i="7"/>
  <c r="N48" i="7" a="1"/>
  <c r="N48" i="7" s="1"/>
  <c r="C48" i="7" a="1"/>
  <c r="C48" i="7" s="1"/>
  <c r="B48" i="7" a="1"/>
  <c r="B48" i="7" s="1"/>
  <c r="A48" i="7"/>
  <c r="N47" i="7" a="1"/>
  <c r="N47" i="7" s="1"/>
  <c r="C47" i="7" a="1"/>
  <c r="C47" i="7" s="1"/>
  <c r="B47" i="7" a="1"/>
  <c r="B47" i="7" s="1"/>
  <c r="A47" i="7"/>
  <c r="N46" i="7" a="1"/>
  <c r="N46" i="7" s="1"/>
  <c r="C46" i="7" a="1"/>
  <c r="C46" i="7" s="1"/>
  <c r="B46" i="7" a="1"/>
  <c r="B46" i="7" s="1"/>
  <c r="A46" i="7"/>
  <c r="N45" i="7" a="1"/>
  <c r="N45" i="7" s="1"/>
  <c r="C45" i="7" a="1"/>
  <c r="C45" i="7" s="1"/>
  <c r="B45" i="7" a="1"/>
  <c r="B45" i="7" s="1"/>
  <c r="A45" i="7"/>
  <c r="N44" i="7" a="1"/>
  <c r="N44" i="7" s="1"/>
  <c r="C44" i="7" a="1"/>
  <c r="C44" i="7" s="1"/>
  <c r="B44" i="7" a="1"/>
  <c r="B44" i="7" s="1"/>
  <c r="A44" i="7"/>
  <c r="N43" i="7" a="1"/>
  <c r="N43" i="7" s="1"/>
  <c r="C43" i="7" a="1"/>
  <c r="C43" i="7" s="1"/>
  <c r="B43" i="7" a="1"/>
  <c r="B43" i="7" s="1"/>
  <c r="A43" i="7"/>
  <c r="N42" i="7" a="1"/>
  <c r="N42" i="7" s="1"/>
  <c r="C42" i="7" a="1"/>
  <c r="C42" i="7" s="1"/>
  <c r="B42" i="7" a="1"/>
  <c r="B42" i="7" s="1"/>
  <c r="A42" i="7"/>
  <c r="N41" i="7" a="1"/>
  <c r="N41" i="7" s="1"/>
  <c r="C41" i="7" a="1"/>
  <c r="C41" i="7" s="1"/>
  <c r="B41" i="7" a="1"/>
  <c r="B41" i="7" s="1"/>
  <c r="A41" i="7"/>
  <c r="N40" i="7" a="1"/>
  <c r="N40" i="7" s="1"/>
  <c r="C40" i="7" a="1"/>
  <c r="C40" i="7" s="1"/>
  <c r="B40" i="7" a="1"/>
  <c r="B40" i="7" s="1"/>
  <c r="A40" i="7"/>
  <c r="N39" i="7" a="1"/>
  <c r="N39" i="7" s="1"/>
  <c r="C39" i="7" a="1"/>
  <c r="C39" i="7" s="1"/>
  <c r="B39" i="7" a="1"/>
  <c r="B39" i="7" s="1"/>
  <c r="A39" i="7"/>
  <c r="N38" i="7" a="1"/>
  <c r="N38" i="7" s="1"/>
  <c r="C38" i="7" a="1"/>
  <c r="C38" i="7" s="1"/>
  <c r="B38" i="7" a="1"/>
  <c r="B38" i="7" s="1"/>
  <c r="A38" i="7"/>
  <c r="N37" i="7" a="1"/>
  <c r="N37" i="7" s="1"/>
  <c r="C37" i="7" a="1"/>
  <c r="C37" i="7" s="1"/>
  <c r="B37" i="7" a="1"/>
  <c r="B37" i="7" s="1"/>
  <c r="A37" i="7"/>
  <c r="N36" i="7" a="1"/>
  <c r="N36" i="7" s="1"/>
  <c r="C36" i="7" a="1"/>
  <c r="C36" i="7" s="1"/>
  <c r="B36" i="7" a="1"/>
  <c r="B36" i="7" s="1"/>
  <c r="A36" i="7"/>
  <c r="N35" i="7" a="1"/>
  <c r="N35" i="7" s="1"/>
  <c r="C35" i="7" a="1"/>
  <c r="C35" i="7" s="1"/>
  <c r="B35" i="7" a="1"/>
  <c r="B35" i="7" s="1"/>
  <c r="A35" i="7"/>
  <c r="N34" i="7" a="1"/>
  <c r="N34" i="7" s="1"/>
  <c r="C34" i="7" a="1"/>
  <c r="C34" i="7" s="1"/>
  <c r="B34" i="7" a="1"/>
  <c r="B34" i="7" s="1"/>
  <c r="A34" i="7"/>
  <c r="N33" i="7" a="1"/>
  <c r="N33" i="7" s="1"/>
  <c r="C33" i="7" a="1"/>
  <c r="C33" i="7" s="1"/>
  <c r="B33" i="7" a="1"/>
  <c r="B33" i="7" s="1"/>
  <c r="A33" i="7"/>
  <c r="N32" i="7" a="1"/>
  <c r="N32" i="7" s="1"/>
  <c r="C32" i="7" a="1"/>
  <c r="C32" i="7" s="1"/>
  <c r="B32" i="7" a="1"/>
  <c r="B32" i="7" s="1"/>
  <c r="A32" i="7"/>
  <c r="N31" i="7" a="1"/>
  <c r="N31" i="7" s="1"/>
  <c r="C31" i="7" a="1"/>
  <c r="C31" i="7" s="1"/>
  <c r="B31" i="7" a="1"/>
  <c r="B31" i="7" s="1"/>
  <c r="A31" i="7"/>
  <c r="N30" i="7" a="1"/>
  <c r="N30" i="7" s="1"/>
  <c r="C30" i="7" a="1"/>
  <c r="C30" i="7" s="1"/>
  <c r="B30" i="7" a="1"/>
  <c r="B30" i="7" s="1"/>
  <c r="A30" i="7"/>
  <c r="N29" i="7" a="1"/>
  <c r="N29" i="7" s="1"/>
  <c r="C29" i="7" a="1"/>
  <c r="C29" i="7" s="1"/>
  <c r="B29" i="7" a="1"/>
  <c r="B29" i="7" s="1"/>
  <c r="A29" i="7"/>
  <c r="N28" i="7" a="1"/>
  <c r="N28" i="7" s="1"/>
  <c r="C28" i="7" a="1"/>
  <c r="C28" i="7" s="1"/>
  <c r="B28" i="7" a="1"/>
  <c r="B28" i="7" s="1"/>
  <c r="A28" i="7"/>
  <c r="N27" i="7" a="1"/>
  <c r="N27" i="7" s="1"/>
  <c r="C27" i="7" a="1"/>
  <c r="C27" i="7" s="1"/>
  <c r="B27" i="7" a="1"/>
  <c r="B27" i="7" s="1"/>
  <c r="A27" i="7"/>
  <c r="N26" i="7" a="1"/>
  <c r="N26" i="7" s="1"/>
  <c r="C26" i="7" a="1"/>
  <c r="C26" i="7" s="1"/>
  <c r="B26" i="7" a="1"/>
  <c r="B26" i="7" s="1"/>
  <c r="A26" i="7"/>
  <c r="N25" i="7" a="1"/>
  <c r="N25" i="7" s="1"/>
  <c r="C25" i="7" a="1"/>
  <c r="C25" i="7" s="1"/>
  <c r="B25" i="7" a="1"/>
  <c r="B25" i="7" s="1"/>
  <c r="A25" i="7"/>
  <c r="N24" i="7" a="1"/>
  <c r="N24" i="7" s="1"/>
  <c r="C24" i="7" a="1"/>
  <c r="C24" i="7" s="1"/>
  <c r="B24" i="7" a="1"/>
  <c r="B24" i="7" s="1"/>
  <c r="A24" i="7"/>
  <c r="N23" i="7" a="1"/>
  <c r="N23" i="7" s="1"/>
  <c r="C23" i="7" a="1"/>
  <c r="C23" i="7" s="1"/>
  <c r="B23" i="7" a="1"/>
  <c r="B23" i="7" s="1"/>
  <c r="A23" i="7"/>
  <c r="N22" i="7" a="1"/>
  <c r="N22" i="7" s="1"/>
  <c r="C22" i="7" a="1"/>
  <c r="C22" i="7" s="1"/>
  <c r="B22" i="7" a="1"/>
  <c r="B22" i="7" s="1"/>
  <c r="A22" i="7"/>
  <c r="N21" i="7" a="1"/>
  <c r="N21" i="7" s="1"/>
  <c r="C21" i="7" a="1"/>
  <c r="C21" i="7" s="1"/>
  <c r="B21" i="7" a="1"/>
  <c r="B21" i="7" s="1"/>
  <c r="A21" i="7"/>
  <c r="N20" i="7" a="1"/>
  <c r="N20" i="7" s="1"/>
  <c r="C20" i="7" a="1"/>
  <c r="C20" i="7" s="1"/>
  <c r="B20" i="7" a="1"/>
  <c r="B20" i="7" s="1"/>
  <c r="A20" i="7"/>
  <c r="N19" i="7" a="1"/>
  <c r="N19" i="7" s="1"/>
  <c r="C19" i="7" a="1"/>
  <c r="C19" i="7" s="1"/>
  <c r="B19" i="7" a="1"/>
  <c r="B19" i="7" s="1"/>
  <c r="A19" i="7"/>
  <c r="N18" i="7" a="1"/>
  <c r="N18" i="7" s="1"/>
  <c r="C18" i="7" a="1"/>
  <c r="C18" i="7" s="1"/>
  <c r="B18" i="7" a="1"/>
  <c r="B18" i="7" s="1"/>
  <c r="A18" i="7"/>
  <c r="N17" i="7" a="1"/>
  <c r="N17" i="7" s="1"/>
  <c r="C17" i="7" a="1"/>
  <c r="C17" i="7" s="1"/>
  <c r="B17" i="7" a="1"/>
  <c r="B17" i="7" s="1"/>
  <c r="A17" i="7"/>
  <c r="N16" i="7" a="1"/>
  <c r="N16" i="7" s="1"/>
  <c r="C16" i="7" a="1"/>
  <c r="C16" i="7" s="1"/>
  <c r="B16" i="7" a="1"/>
  <c r="B16" i="7" s="1"/>
  <c r="A16" i="7"/>
  <c r="N15" i="7" a="1"/>
  <c r="N15" i="7" s="1"/>
  <c r="C15" i="7" a="1"/>
  <c r="C15" i="7" s="1"/>
  <c r="B15" i="7" a="1"/>
  <c r="B15" i="7" s="1"/>
  <c r="A15" i="7"/>
  <c r="N14" i="7" a="1"/>
  <c r="N14" i="7" s="1"/>
  <c r="C14" i="7" a="1"/>
  <c r="C14" i="7" s="1"/>
  <c r="B14" i="7" a="1"/>
  <c r="B14" i="7" s="1"/>
  <c r="A14" i="7"/>
  <c r="N13" i="7" a="1"/>
  <c r="N13" i="7" s="1"/>
  <c r="C13" i="7" a="1"/>
  <c r="C13" i="7" s="1"/>
  <c r="B13" i="7" a="1"/>
  <c r="B13" i="7" s="1"/>
  <c r="A13" i="7"/>
  <c r="N12" i="7" a="1"/>
  <c r="N12" i="7" s="1"/>
  <c r="C12" i="7" a="1"/>
  <c r="C12" i="7" s="1"/>
  <c r="B12" i="7" a="1"/>
  <c r="B12" i="7" s="1"/>
  <c r="A12" i="7"/>
  <c r="N11" i="7" a="1"/>
  <c r="N11" i="7" s="1"/>
  <c r="C11" i="7" a="1"/>
  <c r="C11" i="7" s="1"/>
  <c r="B11" i="7" a="1"/>
  <c r="B11" i="7" s="1"/>
  <c r="A11" i="7"/>
  <c r="N10" i="7" a="1"/>
  <c r="N10" i="7" s="1"/>
  <c r="C10" i="7" a="1"/>
  <c r="C10" i="7" s="1"/>
  <c r="B10" i="7" a="1"/>
  <c r="B10" i="7" s="1"/>
  <c r="A10" i="7"/>
  <c r="N9" i="7" a="1"/>
  <c r="N9" i="7" s="1"/>
  <c r="C9" i="7" a="1"/>
  <c r="C9" i="7" s="1"/>
  <c r="B9" i="7" a="1"/>
  <c r="B9" i="7" s="1"/>
  <c r="A9" i="7"/>
  <c r="N8" i="7" a="1"/>
  <c r="N8" i="7" s="1"/>
  <c r="C8" i="7" a="1"/>
  <c r="C8" i="7" s="1"/>
  <c r="B8" i="7" a="1"/>
  <c r="B8" i="7" s="1"/>
  <c r="A8" i="7"/>
  <c r="N7" i="7" a="1"/>
  <c r="N7" i="7" s="1"/>
  <c r="C7" i="7" a="1"/>
  <c r="C7" i="7" s="1"/>
  <c r="B7" i="7" a="1"/>
  <c r="B7" i="7" s="1"/>
  <c r="A7" i="7"/>
  <c r="N6" i="7" a="1"/>
  <c r="N6" i="7" s="1"/>
  <c r="C6" i="7" a="1"/>
  <c r="C6" i="7" s="1"/>
  <c r="B6" i="7" a="1"/>
  <c r="B6" i="7" s="1"/>
  <c r="A6" i="7"/>
  <c r="N5" i="7" a="1"/>
  <c r="N5" i="7" s="1"/>
  <c r="C5" i="7" a="1"/>
  <c r="C5" i="7" s="1"/>
  <c r="B5" i="7" a="1"/>
  <c r="B5" i="7" s="1"/>
  <c r="A5" i="7"/>
  <c r="N4" i="7" a="1"/>
  <c r="N4" i="7" s="1"/>
  <c r="C4" i="7" a="1"/>
  <c r="C4" i="7" s="1"/>
  <c r="B4" i="7" a="1"/>
  <c r="B4" i="7" s="1"/>
  <c r="A4" i="7"/>
  <c r="N3" i="7" a="1"/>
  <c r="N3" i="7" s="1"/>
  <c r="C3" i="7" a="1"/>
  <c r="C3" i="7" s="1"/>
  <c r="B3" i="7" a="1"/>
  <c r="B3" i="7" s="1"/>
  <c r="A3" i="7"/>
  <c r="N2" i="7" a="1"/>
  <c r="N2" i="7" s="1"/>
  <c r="C2" i="7" a="1"/>
  <c r="C2" i="7" s="1"/>
  <c r="B2" i="7" a="1"/>
  <c r="B2" i="7" s="1"/>
  <c r="A2" i="7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Y108" i="5" a="1"/>
  <c r="Y108" i="5" s="1"/>
  <c r="X108" i="5" a="1"/>
  <c r="X108" i="5" s="1"/>
  <c r="E108" i="5" a="1"/>
  <c r="E108" i="5" s="1"/>
  <c r="D108" i="5" a="1"/>
  <c r="D108" i="5" s="1"/>
  <c r="C108" i="5" a="1"/>
  <c r="C108" i="5" s="1"/>
  <c r="B108" i="5" a="1"/>
  <c r="B108" i="5" s="1"/>
  <c r="A108" i="5"/>
  <c r="Y107" i="5" a="1"/>
  <c r="Y107" i="5" s="1"/>
  <c r="X107" i="5" a="1"/>
  <c r="X107" i="5" s="1"/>
  <c r="E107" i="5" a="1"/>
  <c r="E107" i="5" s="1"/>
  <c r="D107" i="5" a="1"/>
  <c r="D107" i="5" s="1"/>
  <c r="C107" i="5" a="1"/>
  <c r="C107" i="5" s="1"/>
  <c r="B107" i="5" a="1"/>
  <c r="B107" i="5" s="1"/>
  <c r="A107" i="5"/>
  <c r="Y106" i="5" a="1"/>
  <c r="Y106" i="5" s="1"/>
  <c r="X106" i="5" a="1"/>
  <c r="X106" i="5" s="1"/>
  <c r="E106" i="5" a="1"/>
  <c r="E106" i="5" s="1"/>
  <c r="D106" i="5" a="1"/>
  <c r="D106" i="5" s="1"/>
  <c r="C106" i="5" a="1"/>
  <c r="C106" i="5" s="1"/>
  <c r="B106" i="5" a="1"/>
  <c r="B106" i="5" s="1"/>
  <c r="A106" i="5"/>
  <c r="Y105" i="5" a="1"/>
  <c r="Y105" i="5" s="1"/>
  <c r="X105" i="5" a="1"/>
  <c r="X105" i="5" s="1"/>
  <c r="E105" i="5" a="1"/>
  <c r="E105" i="5" s="1"/>
  <c r="D105" i="5" a="1"/>
  <c r="D105" i="5" s="1"/>
  <c r="C105" i="5" a="1"/>
  <c r="C105" i="5" s="1"/>
  <c r="B105" i="5" a="1"/>
  <c r="B105" i="5" s="1"/>
  <c r="A105" i="5"/>
  <c r="Y104" i="5" a="1"/>
  <c r="Y104" i="5" s="1"/>
  <c r="X104" i="5" a="1"/>
  <c r="X104" i="5" s="1"/>
  <c r="E104" i="5" a="1"/>
  <c r="E104" i="5" s="1"/>
  <c r="D104" i="5" a="1"/>
  <c r="D104" i="5" s="1"/>
  <c r="C104" i="5" a="1"/>
  <c r="C104" i="5" s="1"/>
  <c r="B104" i="5" a="1"/>
  <c r="B104" i="5" s="1"/>
  <c r="A104" i="5"/>
  <c r="Y103" i="5" a="1"/>
  <c r="Y103" i="5" s="1"/>
  <c r="X103" i="5" a="1"/>
  <c r="X103" i="5" s="1"/>
  <c r="E103" i="5" a="1"/>
  <c r="E103" i="5" s="1"/>
  <c r="D103" i="5" a="1"/>
  <c r="D103" i="5" s="1"/>
  <c r="C103" i="5" a="1"/>
  <c r="C103" i="5" s="1"/>
  <c r="B103" i="5" a="1"/>
  <c r="B103" i="5" s="1"/>
  <c r="A103" i="5"/>
  <c r="Y102" i="5" a="1"/>
  <c r="Y102" i="5" s="1"/>
  <c r="X102" i="5" a="1"/>
  <c r="X102" i="5" s="1"/>
  <c r="E102" i="5" a="1"/>
  <c r="E102" i="5" s="1"/>
  <c r="D102" i="5" a="1"/>
  <c r="D102" i="5" s="1"/>
  <c r="C102" i="5" a="1"/>
  <c r="C102" i="5" s="1"/>
  <c r="B102" i="5" a="1"/>
  <c r="B102" i="5" s="1"/>
  <c r="A102" i="5"/>
  <c r="Y101" i="5" a="1"/>
  <c r="Y101" i="5" s="1"/>
  <c r="X101" i="5" a="1"/>
  <c r="X101" i="5" s="1"/>
  <c r="E101" i="5" a="1"/>
  <c r="E101" i="5" s="1"/>
  <c r="D101" i="5" a="1"/>
  <c r="D101" i="5" s="1"/>
  <c r="C101" i="5" a="1"/>
  <c r="C101" i="5" s="1"/>
  <c r="B101" i="5" a="1"/>
  <c r="B101" i="5" s="1"/>
  <c r="A101" i="5"/>
  <c r="Y100" i="5" a="1"/>
  <c r="Y100" i="5" s="1"/>
  <c r="X100" i="5" a="1"/>
  <c r="X100" i="5" s="1"/>
  <c r="E100" i="5" a="1"/>
  <c r="E100" i="5" s="1"/>
  <c r="D100" i="5" a="1"/>
  <c r="D100" i="5" s="1"/>
  <c r="C100" i="5" a="1"/>
  <c r="C100" i="5" s="1"/>
  <c r="B100" i="5" a="1"/>
  <c r="B100" i="5" s="1"/>
  <c r="A100" i="5"/>
  <c r="Y99" i="5" a="1"/>
  <c r="Y99" i="5" s="1"/>
  <c r="X99" i="5" a="1"/>
  <c r="X99" i="5" s="1"/>
  <c r="E99" i="5" a="1"/>
  <c r="E99" i="5" s="1"/>
  <c r="D99" i="5" a="1"/>
  <c r="D99" i="5" s="1"/>
  <c r="C99" i="5" a="1"/>
  <c r="C99" i="5" s="1"/>
  <c r="B99" i="5" a="1"/>
  <c r="B99" i="5" s="1"/>
  <c r="A99" i="5"/>
  <c r="Y98" i="5" a="1"/>
  <c r="Y98" i="5" s="1"/>
  <c r="X98" i="5" a="1"/>
  <c r="X98" i="5" s="1"/>
  <c r="E98" i="5" a="1"/>
  <c r="E98" i="5" s="1"/>
  <c r="D98" i="5" a="1"/>
  <c r="D98" i="5" s="1"/>
  <c r="C98" i="5" a="1"/>
  <c r="C98" i="5" s="1"/>
  <c r="B98" i="5" a="1"/>
  <c r="B98" i="5" s="1"/>
  <c r="A98" i="5"/>
  <c r="Y97" i="5" a="1"/>
  <c r="Y97" i="5" s="1"/>
  <c r="X97" i="5" a="1"/>
  <c r="X97" i="5" s="1"/>
  <c r="E97" i="5" a="1"/>
  <c r="E97" i="5" s="1"/>
  <c r="D97" i="5" a="1"/>
  <c r="D97" i="5" s="1"/>
  <c r="C97" i="5" a="1"/>
  <c r="C97" i="5" s="1"/>
  <c r="B97" i="5" a="1"/>
  <c r="B97" i="5" s="1"/>
  <c r="A97" i="5"/>
  <c r="Y96" i="5" a="1"/>
  <c r="Y96" i="5" s="1"/>
  <c r="X96" i="5" a="1"/>
  <c r="X96" i="5" s="1"/>
  <c r="E96" i="5" a="1"/>
  <c r="E96" i="5" s="1"/>
  <c r="D96" i="5" a="1"/>
  <c r="D96" i="5" s="1"/>
  <c r="C96" i="5" a="1"/>
  <c r="C96" i="5" s="1"/>
  <c r="B96" i="5" a="1"/>
  <c r="B96" i="5" s="1"/>
  <c r="A96" i="5"/>
  <c r="Y95" i="5" a="1"/>
  <c r="Y95" i="5" s="1"/>
  <c r="X95" i="5" a="1"/>
  <c r="X95" i="5" s="1"/>
  <c r="E95" i="5" a="1"/>
  <c r="E95" i="5" s="1"/>
  <c r="D95" i="5" a="1"/>
  <c r="D95" i="5" s="1"/>
  <c r="C95" i="5" a="1"/>
  <c r="C95" i="5" s="1"/>
  <c r="B95" i="5" a="1"/>
  <c r="B95" i="5" s="1"/>
  <c r="A95" i="5"/>
  <c r="Y94" i="5" a="1"/>
  <c r="Y94" i="5" s="1"/>
  <c r="X94" i="5" a="1"/>
  <c r="X94" i="5" s="1"/>
  <c r="E94" i="5" a="1"/>
  <c r="E94" i="5" s="1"/>
  <c r="D94" i="5" a="1"/>
  <c r="D94" i="5" s="1"/>
  <c r="C94" i="5" a="1"/>
  <c r="C94" i="5" s="1"/>
  <c r="B94" i="5" a="1"/>
  <c r="B94" i="5" s="1"/>
  <c r="A94" i="5"/>
  <c r="Y93" i="5" a="1"/>
  <c r="Y93" i="5" s="1"/>
  <c r="X93" i="5" a="1"/>
  <c r="X93" i="5" s="1"/>
  <c r="E93" i="5" a="1"/>
  <c r="E93" i="5" s="1"/>
  <c r="D93" i="5" a="1"/>
  <c r="D93" i="5" s="1"/>
  <c r="C93" i="5" a="1"/>
  <c r="C93" i="5" s="1"/>
  <c r="B93" i="5" a="1"/>
  <c r="B93" i="5" s="1"/>
  <c r="A93" i="5"/>
  <c r="Y92" i="5" a="1"/>
  <c r="Y92" i="5" s="1"/>
  <c r="X92" i="5" a="1"/>
  <c r="X92" i="5" s="1"/>
  <c r="E92" i="5" a="1"/>
  <c r="E92" i="5" s="1"/>
  <c r="D92" i="5" a="1"/>
  <c r="D92" i="5" s="1"/>
  <c r="C92" i="5" a="1"/>
  <c r="C92" i="5" s="1"/>
  <c r="B92" i="5" a="1"/>
  <c r="B92" i="5" s="1"/>
  <c r="A92" i="5"/>
  <c r="Y91" i="5" a="1"/>
  <c r="Y91" i="5" s="1"/>
  <c r="X91" i="5" a="1"/>
  <c r="X91" i="5" s="1"/>
  <c r="E91" i="5" a="1"/>
  <c r="E91" i="5" s="1"/>
  <c r="D91" i="5" a="1"/>
  <c r="D91" i="5" s="1"/>
  <c r="C91" i="5" a="1"/>
  <c r="C91" i="5" s="1"/>
  <c r="B91" i="5" a="1"/>
  <c r="B91" i="5" s="1"/>
  <c r="A91" i="5"/>
  <c r="Y90" i="5" a="1"/>
  <c r="Y90" i="5" s="1"/>
  <c r="X90" i="5" a="1"/>
  <c r="X90" i="5" s="1"/>
  <c r="E90" i="5" a="1"/>
  <c r="E90" i="5" s="1"/>
  <c r="D90" i="5" a="1"/>
  <c r="D90" i="5" s="1"/>
  <c r="C90" i="5" a="1"/>
  <c r="C90" i="5" s="1"/>
  <c r="B90" i="5" a="1"/>
  <c r="B90" i="5" s="1"/>
  <c r="A90" i="5"/>
  <c r="Y89" i="5" a="1"/>
  <c r="Y89" i="5" s="1"/>
  <c r="X89" i="5" a="1"/>
  <c r="X89" i="5" s="1"/>
  <c r="E89" i="5" a="1"/>
  <c r="E89" i="5" s="1"/>
  <c r="D89" i="5" a="1"/>
  <c r="D89" i="5" s="1"/>
  <c r="C89" i="5" a="1"/>
  <c r="C89" i="5" s="1"/>
  <c r="B89" i="5" a="1"/>
  <c r="B89" i="5" s="1"/>
  <c r="A89" i="5"/>
  <c r="Y88" i="5" a="1"/>
  <c r="Y88" i="5" s="1"/>
  <c r="X88" i="5" a="1"/>
  <c r="X88" i="5" s="1"/>
  <c r="E88" i="5" a="1"/>
  <c r="E88" i="5" s="1"/>
  <c r="D88" i="5" a="1"/>
  <c r="D88" i="5" s="1"/>
  <c r="C88" i="5" a="1"/>
  <c r="C88" i="5" s="1"/>
  <c r="B88" i="5" a="1"/>
  <c r="B88" i="5" s="1"/>
  <c r="A88" i="5"/>
  <c r="Y87" i="5" a="1"/>
  <c r="Y87" i="5" s="1"/>
  <c r="X87" i="5" a="1"/>
  <c r="X87" i="5" s="1"/>
  <c r="E87" i="5" a="1"/>
  <c r="E87" i="5" s="1"/>
  <c r="D87" i="5" a="1"/>
  <c r="D87" i="5" s="1"/>
  <c r="C87" i="5" a="1"/>
  <c r="C87" i="5" s="1"/>
  <c r="B87" i="5" a="1"/>
  <c r="B87" i="5" s="1"/>
  <c r="A87" i="5"/>
  <c r="Y86" i="5" a="1"/>
  <c r="Y86" i="5" s="1"/>
  <c r="X86" i="5" a="1"/>
  <c r="X86" i="5" s="1"/>
  <c r="E86" i="5" a="1"/>
  <c r="E86" i="5" s="1"/>
  <c r="D86" i="5" a="1"/>
  <c r="D86" i="5" s="1"/>
  <c r="C86" i="5" a="1"/>
  <c r="C86" i="5" s="1"/>
  <c r="B86" i="5" a="1"/>
  <c r="B86" i="5" s="1"/>
  <c r="A86" i="5"/>
  <c r="Y85" i="5" a="1"/>
  <c r="Y85" i="5" s="1"/>
  <c r="X85" i="5" a="1"/>
  <c r="X85" i="5" s="1"/>
  <c r="E85" i="5" a="1"/>
  <c r="E85" i="5" s="1"/>
  <c r="D85" i="5" a="1"/>
  <c r="D85" i="5" s="1"/>
  <c r="C85" i="5" a="1"/>
  <c r="C85" i="5" s="1"/>
  <c r="B85" i="5" a="1"/>
  <c r="B85" i="5" s="1"/>
  <c r="A85" i="5"/>
  <c r="Y84" i="5" a="1"/>
  <c r="Y84" i="5" s="1"/>
  <c r="X84" i="5" a="1"/>
  <c r="X84" i="5" s="1"/>
  <c r="E84" i="5" a="1"/>
  <c r="E84" i="5" s="1"/>
  <c r="D84" i="5" a="1"/>
  <c r="D84" i="5" s="1"/>
  <c r="C84" i="5" a="1"/>
  <c r="C84" i="5" s="1"/>
  <c r="B84" i="5" a="1"/>
  <c r="B84" i="5" s="1"/>
  <c r="A84" i="5"/>
  <c r="Y83" i="5" a="1"/>
  <c r="Y83" i="5" s="1"/>
  <c r="X83" i="5" a="1"/>
  <c r="X83" i="5" s="1"/>
  <c r="E83" i="5" a="1"/>
  <c r="E83" i="5" s="1"/>
  <c r="D83" i="5" a="1"/>
  <c r="D83" i="5" s="1"/>
  <c r="C83" i="5" a="1"/>
  <c r="C83" i="5" s="1"/>
  <c r="B83" i="5" a="1"/>
  <c r="B83" i="5" s="1"/>
  <c r="A83" i="5"/>
  <c r="Y82" i="5" a="1"/>
  <c r="Y82" i="5" s="1"/>
  <c r="X82" i="5" a="1"/>
  <c r="X82" i="5" s="1"/>
  <c r="E82" i="5" a="1"/>
  <c r="E82" i="5" s="1"/>
  <c r="D82" i="5" a="1"/>
  <c r="D82" i="5" s="1"/>
  <c r="C82" i="5" a="1"/>
  <c r="C82" i="5" s="1"/>
  <c r="B82" i="5" a="1"/>
  <c r="B82" i="5" s="1"/>
  <c r="A82" i="5"/>
  <c r="Y81" i="5" a="1"/>
  <c r="Y81" i="5" s="1"/>
  <c r="X81" i="5" a="1"/>
  <c r="X81" i="5" s="1"/>
  <c r="E81" i="5" a="1"/>
  <c r="E81" i="5" s="1"/>
  <c r="D81" i="5" a="1"/>
  <c r="D81" i="5" s="1"/>
  <c r="C81" i="5" a="1"/>
  <c r="C81" i="5" s="1"/>
  <c r="B81" i="5" a="1"/>
  <c r="B81" i="5" s="1"/>
  <c r="A81" i="5"/>
  <c r="Y80" i="5" a="1"/>
  <c r="Y80" i="5" s="1"/>
  <c r="X80" i="5" a="1"/>
  <c r="X80" i="5" s="1"/>
  <c r="E80" i="5" a="1"/>
  <c r="E80" i="5" s="1"/>
  <c r="D80" i="5" a="1"/>
  <c r="D80" i="5" s="1"/>
  <c r="C80" i="5" a="1"/>
  <c r="C80" i="5" s="1"/>
  <c r="B80" i="5" a="1"/>
  <c r="B80" i="5" s="1"/>
  <c r="A80" i="5"/>
  <c r="Y79" i="5" a="1"/>
  <c r="Y79" i="5" s="1"/>
  <c r="X79" i="5" a="1"/>
  <c r="X79" i="5" s="1"/>
  <c r="E79" i="5" a="1"/>
  <c r="E79" i="5" s="1"/>
  <c r="D79" i="5" a="1"/>
  <c r="D79" i="5" s="1"/>
  <c r="C79" i="5" a="1"/>
  <c r="C79" i="5" s="1"/>
  <c r="B79" i="5" a="1"/>
  <c r="B79" i="5" s="1"/>
  <c r="A79" i="5"/>
  <c r="Y78" i="5" a="1"/>
  <c r="Y78" i="5" s="1"/>
  <c r="X78" i="5" a="1"/>
  <c r="X78" i="5" s="1"/>
  <c r="E78" i="5" a="1"/>
  <c r="E78" i="5" s="1"/>
  <c r="D78" i="5" a="1"/>
  <c r="D78" i="5" s="1"/>
  <c r="C78" i="5" a="1"/>
  <c r="C78" i="5" s="1"/>
  <c r="B78" i="5" a="1"/>
  <c r="B78" i="5" s="1"/>
  <c r="A78" i="5"/>
  <c r="Y77" i="5" a="1"/>
  <c r="Y77" i="5" s="1"/>
  <c r="X77" i="5" a="1"/>
  <c r="X77" i="5" s="1"/>
  <c r="E77" i="5" a="1"/>
  <c r="E77" i="5" s="1"/>
  <c r="D77" i="5" a="1"/>
  <c r="D77" i="5" s="1"/>
  <c r="C77" i="5" a="1"/>
  <c r="C77" i="5" s="1"/>
  <c r="B77" i="5" a="1"/>
  <c r="B77" i="5" s="1"/>
  <c r="A77" i="5"/>
  <c r="Y76" i="5" a="1"/>
  <c r="Y76" i="5" s="1"/>
  <c r="X76" i="5" a="1"/>
  <c r="X76" i="5" s="1"/>
  <c r="E76" i="5" a="1"/>
  <c r="E76" i="5" s="1"/>
  <c r="D76" i="5" a="1"/>
  <c r="D76" i="5" s="1"/>
  <c r="C76" i="5" a="1"/>
  <c r="C76" i="5" s="1"/>
  <c r="B76" i="5" a="1"/>
  <c r="B76" i="5" s="1"/>
  <c r="A76" i="5"/>
  <c r="Y75" i="5" a="1"/>
  <c r="Y75" i="5" s="1"/>
  <c r="X75" i="5" a="1"/>
  <c r="X75" i="5" s="1"/>
  <c r="E75" i="5" a="1"/>
  <c r="E75" i="5" s="1"/>
  <c r="D75" i="5" a="1"/>
  <c r="D75" i="5" s="1"/>
  <c r="C75" i="5" a="1"/>
  <c r="C75" i="5" s="1"/>
  <c r="B75" i="5" a="1"/>
  <c r="B75" i="5" s="1"/>
  <c r="A75" i="5"/>
  <c r="Y74" i="5" a="1"/>
  <c r="Y74" i="5" s="1"/>
  <c r="X74" i="5" a="1"/>
  <c r="X74" i="5" s="1"/>
  <c r="E74" i="5" a="1"/>
  <c r="E74" i="5" s="1"/>
  <c r="D74" i="5" a="1"/>
  <c r="D74" i="5" s="1"/>
  <c r="C74" i="5" a="1"/>
  <c r="C74" i="5" s="1"/>
  <c r="B74" i="5" a="1"/>
  <c r="B74" i="5" s="1"/>
  <c r="A74" i="5"/>
  <c r="Y73" i="5" a="1"/>
  <c r="Y73" i="5" s="1"/>
  <c r="X73" i="5" a="1"/>
  <c r="X73" i="5" s="1"/>
  <c r="E73" i="5" a="1"/>
  <c r="E73" i="5" s="1"/>
  <c r="D73" i="5" a="1"/>
  <c r="D73" i="5" s="1"/>
  <c r="C73" i="5" a="1"/>
  <c r="C73" i="5" s="1"/>
  <c r="B73" i="5" a="1"/>
  <c r="B73" i="5" s="1"/>
  <c r="A73" i="5"/>
  <c r="Y72" i="5" a="1"/>
  <c r="Y72" i="5" s="1"/>
  <c r="X72" i="5" a="1"/>
  <c r="X72" i="5" s="1"/>
  <c r="E72" i="5" a="1"/>
  <c r="E72" i="5" s="1"/>
  <c r="D72" i="5" a="1"/>
  <c r="D72" i="5" s="1"/>
  <c r="C72" i="5" a="1"/>
  <c r="C72" i="5" s="1"/>
  <c r="B72" i="5" a="1"/>
  <c r="B72" i="5" s="1"/>
  <c r="A72" i="5"/>
  <c r="Y71" i="5" a="1"/>
  <c r="Y71" i="5" s="1"/>
  <c r="X71" i="5" a="1"/>
  <c r="X71" i="5" s="1"/>
  <c r="E71" i="5" a="1"/>
  <c r="E71" i="5" s="1"/>
  <c r="D71" i="5" a="1"/>
  <c r="D71" i="5" s="1"/>
  <c r="C71" i="5" a="1"/>
  <c r="C71" i="5" s="1"/>
  <c r="B71" i="5" a="1"/>
  <c r="B71" i="5" s="1"/>
  <c r="A71" i="5"/>
  <c r="Y70" i="5" a="1"/>
  <c r="Y70" i="5" s="1"/>
  <c r="X70" i="5" a="1"/>
  <c r="X70" i="5" s="1"/>
  <c r="E70" i="5" a="1"/>
  <c r="E70" i="5" s="1"/>
  <c r="D70" i="5" a="1"/>
  <c r="D70" i="5" s="1"/>
  <c r="C70" i="5" a="1"/>
  <c r="C70" i="5" s="1"/>
  <c r="B70" i="5" a="1"/>
  <c r="B70" i="5" s="1"/>
  <c r="A70" i="5"/>
  <c r="Y69" i="5" a="1"/>
  <c r="Y69" i="5" s="1"/>
  <c r="X69" i="5" a="1"/>
  <c r="X69" i="5" s="1"/>
  <c r="E69" i="5" a="1"/>
  <c r="E69" i="5" s="1"/>
  <c r="D69" i="5" a="1"/>
  <c r="D69" i="5" s="1"/>
  <c r="C69" i="5" a="1"/>
  <c r="C69" i="5" s="1"/>
  <c r="B69" i="5" a="1"/>
  <c r="B69" i="5" s="1"/>
  <c r="A69" i="5"/>
  <c r="Y68" i="5" a="1"/>
  <c r="Y68" i="5" s="1"/>
  <c r="X68" i="5" a="1"/>
  <c r="X68" i="5" s="1"/>
  <c r="E68" i="5" a="1"/>
  <c r="E68" i="5" s="1"/>
  <c r="D68" i="5" a="1"/>
  <c r="D68" i="5" s="1"/>
  <c r="C68" i="5" a="1"/>
  <c r="C68" i="5" s="1"/>
  <c r="B68" i="5" a="1"/>
  <c r="B68" i="5" s="1"/>
  <c r="A68" i="5"/>
  <c r="Y67" i="5" a="1"/>
  <c r="Y67" i="5" s="1"/>
  <c r="X67" i="5" a="1"/>
  <c r="X67" i="5" s="1"/>
  <c r="E67" i="5" a="1"/>
  <c r="E67" i="5" s="1"/>
  <c r="D67" i="5" a="1"/>
  <c r="D67" i="5" s="1"/>
  <c r="C67" i="5" a="1"/>
  <c r="C67" i="5" s="1"/>
  <c r="B67" i="5" a="1"/>
  <c r="B67" i="5" s="1"/>
  <c r="A67" i="5"/>
  <c r="Y66" i="5" a="1"/>
  <c r="Y66" i="5" s="1"/>
  <c r="X66" i="5" a="1"/>
  <c r="X66" i="5" s="1"/>
  <c r="E66" i="5" a="1"/>
  <c r="E66" i="5" s="1"/>
  <c r="D66" i="5" a="1"/>
  <c r="D66" i="5" s="1"/>
  <c r="C66" i="5" a="1"/>
  <c r="C66" i="5" s="1"/>
  <c r="B66" i="5" a="1"/>
  <c r="B66" i="5" s="1"/>
  <c r="A66" i="5"/>
  <c r="Y65" i="5" a="1"/>
  <c r="Y65" i="5" s="1"/>
  <c r="X65" i="5" a="1"/>
  <c r="X65" i="5" s="1"/>
  <c r="E65" i="5" a="1"/>
  <c r="E65" i="5" s="1"/>
  <c r="D65" i="5" a="1"/>
  <c r="D65" i="5" s="1"/>
  <c r="C65" i="5" a="1"/>
  <c r="C65" i="5" s="1"/>
  <c r="B65" i="5" a="1"/>
  <c r="B65" i="5" s="1"/>
  <c r="A65" i="5"/>
  <c r="Y64" i="5" a="1"/>
  <c r="Y64" i="5" s="1"/>
  <c r="X64" i="5" a="1"/>
  <c r="X64" i="5" s="1"/>
  <c r="E64" i="5" a="1"/>
  <c r="E64" i="5" s="1"/>
  <c r="D64" i="5" a="1"/>
  <c r="D64" i="5" s="1"/>
  <c r="C64" i="5" a="1"/>
  <c r="C64" i="5" s="1"/>
  <c r="B64" i="5" a="1"/>
  <c r="B64" i="5" s="1"/>
  <c r="A64" i="5"/>
  <c r="Y63" i="5" a="1"/>
  <c r="Y63" i="5" s="1"/>
  <c r="X63" i="5" a="1"/>
  <c r="X63" i="5" s="1"/>
  <c r="E63" i="5" a="1"/>
  <c r="E63" i="5" s="1"/>
  <c r="D63" i="5" a="1"/>
  <c r="D63" i="5" s="1"/>
  <c r="C63" i="5" a="1"/>
  <c r="C63" i="5" s="1"/>
  <c r="B63" i="5" a="1"/>
  <c r="B63" i="5" s="1"/>
  <c r="A63" i="5"/>
  <c r="Y62" i="5" a="1"/>
  <c r="Y62" i="5" s="1"/>
  <c r="X62" i="5" a="1"/>
  <c r="X62" i="5" s="1"/>
  <c r="E62" i="5" a="1"/>
  <c r="E62" i="5" s="1"/>
  <c r="D62" i="5" a="1"/>
  <c r="D62" i="5" s="1"/>
  <c r="C62" i="5" a="1"/>
  <c r="C62" i="5" s="1"/>
  <c r="B62" i="5" a="1"/>
  <c r="B62" i="5" s="1"/>
  <c r="A62" i="5"/>
  <c r="Y61" i="5" a="1"/>
  <c r="Y61" i="5" s="1"/>
  <c r="X61" i="5" a="1"/>
  <c r="X61" i="5" s="1"/>
  <c r="E61" i="5" a="1"/>
  <c r="E61" i="5" s="1"/>
  <c r="D61" i="5" a="1"/>
  <c r="D61" i="5" s="1"/>
  <c r="C61" i="5" a="1"/>
  <c r="C61" i="5" s="1"/>
  <c r="B61" i="5" a="1"/>
  <c r="B61" i="5" s="1"/>
  <c r="A61" i="5"/>
  <c r="Y60" i="5" a="1"/>
  <c r="Y60" i="5" s="1"/>
  <c r="X60" i="5" a="1"/>
  <c r="X60" i="5" s="1"/>
  <c r="E60" i="5" a="1"/>
  <c r="E60" i="5" s="1"/>
  <c r="D60" i="5" a="1"/>
  <c r="D60" i="5" s="1"/>
  <c r="C60" i="5" a="1"/>
  <c r="C60" i="5" s="1"/>
  <c r="B60" i="5" a="1"/>
  <c r="B60" i="5" s="1"/>
  <c r="A60" i="5"/>
  <c r="Y59" i="5" a="1"/>
  <c r="Y59" i="5" s="1"/>
  <c r="X59" i="5" a="1"/>
  <c r="X59" i="5" s="1"/>
  <c r="E59" i="5" a="1"/>
  <c r="E59" i="5" s="1"/>
  <c r="D59" i="5" a="1"/>
  <c r="D59" i="5" s="1"/>
  <c r="C59" i="5" a="1"/>
  <c r="C59" i="5" s="1"/>
  <c r="B59" i="5" a="1"/>
  <c r="B59" i="5" s="1"/>
  <c r="A59" i="5"/>
  <c r="Y58" i="5" a="1"/>
  <c r="Y58" i="5" s="1"/>
  <c r="X58" i="5" a="1"/>
  <c r="X58" i="5" s="1"/>
  <c r="E58" i="5" a="1"/>
  <c r="E58" i="5" s="1"/>
  <c r="D58" i="5" a="1"/>
  <c r="D58" i="5" s="1"/>
  <c r="C58" i="5" a="1"/>
  <c r="C58" i="5" s="1"/>
  <c r="B58" i="5" a="1"/>
  <c r="B58" i="5" s="1"/>
  <c r="A58" i="5"/>
  <c r="Y57" i="5" a="1"/>
  <c r="Y57" i="5" s="1"/>
  <c r="X57" i="5" a="1"/>
  <c r="X57" i="5" s="1"/>
  <c r="E57" i="5" a="1"/>
  <c r="E57" i="5" s="1"/>
  <c r="D57" i="5" a="1"/>
  <c r="D57" i="5" s="1"/>
  <c r="C57" i="5" a="1"/>
  <c r="C57" i="5" s="1"/>
  <c r="B57" i="5" a="1"/>
  <c r="B57" i="5" s="1"/>
  <c r="A57" i="5"/>
  <c r="Y56" i="5" a="1"/>
  <c r="Y56" i="5" s="1"/>
  <c r="X56" i="5" a="1"/>
  <c r="X56" i="5" s="1"/>
  <c r="E56" i="5" a="1"/>
  <c r="E56" i="5" s="1"/>
  <c r="D56" i="5" a="1"/>
  <c r="D56" i="5" s="1"/>
  <c r="C56" i="5" a="1"/>
  <c r="C56" i="5" s="1"/>
  <c r="B56" i="5" a="1"/>
  <c r="B56" i="5" s="1"/>
  <c r="A56" i="5"/>
  <c r="Y55" i="5" a="1"/>
  <c r="Y55" i="5" s="1"/>
  <c r="X55" i="5" a="1"/>
  <c r="X55" i="5" s="1"/>
  <c r="E55" i="5" a="1"/>
  <c r="E55" i="5" s="1"/>
  <c r="D55" i="5" a="1"/>
  <c r="D55" i="5" s="1"/>
  <c r="C55" i="5" a="1"/>
  <c r="C55" i="5" s="1"/>
  <c r="B55" i="5" a="1"/>
  <c r="B55" i="5" s="1"/>
  <c r="A55" i="5"/>
  <c r="Y54" i="5" a="1"/>
  <c r="Y54" i="5" s="1"/>
  <c r="X54" i="5" a="1"/>
  <c r="X54" i="5" s="1"/>
  <c r="E54" i="5" a="1"/>
  <c r="E54" i="5" s="1"/>
  <c r="D54" i="5" a="1"/>
  <c r="D54" i="5" s="1"/>
  <c r="C54" i="5" a="1"/>
  <c r="C54" i="5" s="1"/>
  <c r="B54" i="5" a="1"/>
  <c r="B54" i="5" s="1"/>
  <c r="A54" i="5"/>
  <c r="Y53" i="5" a="1"/>
  <c r="Y53" i="5" s="1"/>
  <c r="X53" i="5" a="1"/>
  <c r="X53" i="5" s="1"/>
  <c r="E53" i="5" a="1"/>
  <c r="E53" i="5" s="1"/>
  <c r="D53" i="5" a="1"/>
  <c r="D53" i="5" s="1"/>
  <c r="C53" i="5" a="1"/>
  <c r="C53" i="5" s="1"/>
  <c r="B53" i="5" a="1"/>
  <c r="B53" i="5" s="1"/>
  <c r="A53" i="5"/>
  <c r="Y52" i="5" a="1"/>
  <c r="Y52" i="5" s="1"/>
  <c r="X52" i="5" a="1"/>
  <c r="X52" i="5" s="1"/>
  <c r="E52" i="5" a="1"/>
  <c r="E52" i="5" s="1"/>
  <c r="D52" i="5" a="1"/>
  <c r="D52" i="5" s="1"/>
  <c r="C52" i="5" a="1"/>
  <c r="C52" i="5" s="1"/>
  <c r="B52" i="5" a="1"/>
  <c r="B52" i="5" s="1"/>
  <c r="A52" i="5"/>
  <c r="Y51" i="5" a="1"/>
  <c r="Y51" i="5" s="1"/>
  <c r="X51" i="5" a="1"/>
  <c r="X51" i="5" s="1"/>
  <c r="E51" i="5" a="1"/>
  <c r="E51" i="5" s="1"/>
  <c r="D51" i="5" a="1"/>
  <c r="D51" i="5" s="1"/>
  <c r="C51" i="5" a="1"/>
  <c r="C51" i="5" s="1"/>
  <c r="B51" i="5" a="1"/>
  <c r="B51" i="5" s="1"/>
  <c r="A51" i="5"/>
  <c r="Y50" i="5" a="1"/>
  <c r="Y50" i="5" s="1"/>
  <c r="X50" i="5" a="1"/>
  <c r="X50" i="5" s="1"/>
  <c r="E50" i="5" a="1"/>
  <c r="E50" i="5" s="1"/>
  <c r="D50" i="5" a="1"/>
  <c r="D50" i="5" s="1"/>
  <c r="C50" i="5" a="1"/>
  <c r="C50" i="5" s="1"/>
  <c r="B50" i="5" a="1"/>
  <c r="B50" i="5" s="1"/>
  <c r="A50" i="5"/>
  <c r="Y49" i="5" a="1"/>
  <c r="Y49" i="5" s="1"/>
  <c r="X49" i="5" a="1"/>
  <c r="X49" i="5" s="1"/>
  <c r="E49" i="5" a="1"/>
  <c r="E49" i="5" s="1"/>
  <c r="D49" i="5" a="1"/>
  <c r="D49" i="5" s="1"/>
  <c r="C49" i="5" a="1"/>
  <c r="C49" i="5" s="1"/>
  <c r="B49" i="5" a="1"/>
  <c r="B49" i="5" s="1"/>
  <c r="A49" i="5"/>
  <c r="Y48" i="5" a="1"/>
  <c r="Y48" i="5" s="1"/>
  <c r="X48" i="5" a="1"/>
  <c r="X48" i="5" s="1"/>
  <c r="E48" i="5" a="1"/>
  <c r="E48" i="5" s="1"/>
  <c r="D48" i="5" a="1"/>
  <c r="D48" i="5" s="1"/>
  <c r="C48" i="5" a="1"/>
  <c r="C48" i="5" s="1"/>
  <c r="B48" i="5" a="1"/>
  <c r="B48" i="5" s="1"/>
  <c r="A48" i="5"/>
  <c r="Y47" i="5" a="1"/>
  <c r="Y47" i="5" s="1"/>
  <c r="X47" i="5" a="1"/>
  <c r="X47" i="5" s="1"/>
  <c r="E47" i="5" a="1"/>
  <c r="E47" i="5" s="1"/>
  <c r="D47" i="5" a="1"/>
  <c r="D47" i="5" s="1"/>
  <c r="C47" i="5" a="1"/>
  <c r="C47" i="5" s="1"/>
  <c r="B47" i="5" a="1"/>
  <c r="B47" i="5" s="1"/>
  <c r="A47" i="5"/>
  <c r="Y46" i="5" a="1"/>
  <c r="Y46" i="5" s="1"/>
  <c r="X46" i="5" a="1"/>
  <c r="X46" i="5" s="1"/>
  <c r="E46" i="5" a="1"/>
  <c r="E46" i="5" s="1"/>
  <c r="D46" i="5" a="1"/>
  <c r="D46" i="5" s="1"/>
  <c r="C46" i="5" a="1"/>
  <c r="C46" i="5" s="1"/>
  <c r="B46" i="5" a="1"/>
  <c r="B46" i="5" s="1"/>
  <c r="A46" i="5"/>
  <c r="Y45" i="5" a="1"/>
  <c r="Y45" i="5" s="1"/>
  <c r="X45" i="5" a="1"/>
  <c r="X45" i="5" s="1"/>
  <c r="E45" i="5" a="1"/>
  <c r="E45" i="5" s="1"/>
  <c r="D45" i="5" a="1"/>
  <c r="D45" i="5" s="1"/>
  <c r="C45" i="5" a="1"/>
  <c r="C45" i="5" s="1"/>
  <c r="B45" i="5" a="1"/>
  <c r="B45" i="5" s="1"/>
  <c r="A45" i="5"/>
  <c r="Y44" i="5" a="1"/>
  <c r="Y44" i="5" s="1"/>
  <c r="X44" i="5" a="1"/>
  <c r="X44" i="5" s="1"/>
  <c r="E44" i="5" a="1"/>
  <c r="E44" i="5" s="1"/>
  <c r="D44" i="5" a="1"/>
  <c r="D44" i="5" s="1"/>
  <c r="C44" i="5" a="1"/>
  <c r="C44" i="5" s="1"/>
  <c r="B44" i="5" a="1"/>
  <c r="B44" i="5" s="1"/>
  <c r="A44" i="5"/>
  <c r="Y43" i="5" a="1"/>
  <c r="Y43" i="5" s="1"/>
  <c r="X43" i="5" a="1"/>
  <c r="X43" i="5" s="1"/>
  <c r="E43" i="5" a="1"/>
  <c r="E43" i="5" s="1"/>
  <c r="D43" i="5" a="1"/>
  <c r="D43" i="5" s="1"/>
  <c r="C43" i="5" a="1"/>
  <c r="C43" i="5" s="1"/>
  <c r="B43" i="5" a="1"/>
  <c r="B43" i="5" s="1"/>
  <c r="A43" i="5"/>
  <c r="Y42" i="5" a="1"/>
  <c r="Y42" i="5" s="1"/>
  <c r="X42" i="5" a="1"/>
  <c r="X42" i="5" s="1"/>
  <c r="E42" i="5" a="1"/>
  <c r="E42" i="5" s="1"/>
  <c r="D42" i="5" a="1"/>
  <c r="D42" i="5" s="1"/>
  <c r="C42" i="5" a="1"/>
  <c r="C42" i="5" s="1"/>
  <c r="B42" i="5" a="1"/>
  <c r="B42" i="5" s="1"/>
  <c r="A42" i="5"/>
  <c r="Y41" i="5" a="1"/>
  <c r="Y41" i="5" s="1"/>
  <c r="X41" i="5" a="1"/>
  <c r="X41" i="5" s="1"/>
  <c r="E41" i="5" a="1"/>
  <c r="E41" i="5" s="1"/>
  <c r="D41" i="5" a="1"/>
  <c r="D41" i="5" s="1"/>
  <c r="C41" i="5" a="1"/>
  <c r="C41" i="5" s="1"/>
  <c r="B41" i="5" a="1"/>
  <c r="B41" i="5" s="1"/>
  <c r="A41" i="5"/>
  <c r="Y40" i="5" a="1"/>
  <c r="Y40" i="5" s="1"/>
  <c r="X40" i="5" a="1"/>
  <c r="X40" i="5" s="1"/>
  <c r="E40" i="5" a="1"/>
  <c r="E40" i="5" s="1"/>
  <c r="D40" i="5" a="1"/>
  <c r="D40" i="5" s="1"/>
  <c r="C40" i="5" a="1"/>
  <c r="C40" i="5" s="1"/>
  <c r="B40" i="5" a="1"/>
  <c r="B40" i="5" s="1"/>
  <c r="A40" i="5"/>
  <c r="Y39" i="5" a="1"/>
  <c r="Y39" i="5" s="1"/>
  <c r="X39" i="5" a="1"/>
  <c r="X39" i="5" s="1"/>
  <c r="E39" i="5" a="1"/>
  <c r="E39" i="5" s="1"/>
  <c r="D39" i="5" a="1"/>
  <c r="D39" i="5" s="1"/>
  <c r="C39" i="5" a="1"/>
  <c r="C39" i="5" s="1"/>
  <c r="B39" i="5" a="1"/>
  <c r="B39" i="5" s="1"/>
  <c r="A39" i="5"/>
  <c r="Y38" i="5" a="1"/>
  <c r="Y38" i="5" s="1"/>
  <c r="X38" i="5" a="1"/>
  <c r="X38" i="5" s="1"/>
  <c r="E38" i="5" a="1"/>
  <c r="E38" i="5" s="1"/>
  <c r="D38" i="5" a="1"/>
  <c r="D38" i="5" s="1"/>
  <c r="C38" i="5" a="1"/>
  <c r="C38" i="5" s="1"/>
  <c r="B38" i="5" a="1"/>
  <c r="B38" i="5" s="1"/>
  <c r="A38" i="5"/>
  <c r="Y37" i="5" a="1"/>
  <c r="Y37" i="5" s="1"/>
  <c r="X37" i="5" a="1"/>
  <c r="X37" i="5" s="1"/>
  <c r="E37" i="5" a="1"/>
  <c r="E37" i="5" s="1"/>
  <c r="D37" i="5" a="1"/>
  <c r="D37" i="5" s="1"/>
  <c r="C37" i="5" a="1"/>
  <c r="C37" i="5" s="1"/>
  <c r="B37" i="5" a="1"/>
  <c r="B37" i="5" s="1"/>
  <c r="A37" i="5"/>
  <c r="Y36" i="5" a="1"/>
  <c r="Y36" i="5" s="1"/>
  <c r="X36" i="5" a="1"/>
  <c r="X36" i="5" s="1"/>
  <c r="E36" i="5" a="1"/>
  <c r="E36" i="5" s="1"/>
  <c r="D36" i="5" a="1"/>
  <c r="D36" i="5" s="1"/>
  <c r="C36" i="5" a="1"/>
  <c r="C36" i="5" s="1"/>
  <c r="B36" i="5" a="1"/>
  <c r="B36" i="5" s="1"/>
  <c r="A36" i="5"/>
  <c r="Y35" i="5" a="1"/>
  <c r="Y35" i="5" s="1"/>
  <c r="X35" i="5" a="1"/>
  <c r="X35" i="5" s="1"/>
  <c r="E35" i="5" a="1"/>
  <c r="E35" i="5" s="1"/>
  <c r="D35" i="5" a="1"/>
  <c r="D35" i="5" s="1"/>
  <c r="C35" i="5" a="1"/>
  <c r="C35" i="5" s="1"/>
  <c r="B35" i="5" a="1"/>
  <c r="B35" i="5" s="1"/>
  <c r="A35" i="5"/>
  <c r="Y34" i="5" a="1"/>
  <c r="Y34" i="5" s="1"/>
  <c r="X34" i="5" a="1"/>
  <c r="X34" i="5" s="1"/>
  <c r="E34" i="5" a="1"/>
  <c r="E34" i="5" s="1"/>
  <c r="D34" i="5" a="1"/>
  <c r="D34" i="5" s="1"/>
  <c r="C34" i="5" a="1"/>
  <c r="C34" i="5" s="1"/>
  <c r="B34" i="5" a="1"/>
  <c r="B34" i="5" s="1"/>
  <c r="A34" i="5"/>
  <c r="Y33" i="5" a="1"/>
  <c r="Y33" i="5" s="1"/>
  <c r="X33" i="5" a="1"/>
  <c r="X33" i="5" s="1"/>
  <c r="E33" i="5" a="1"/>
  <c r="E33" i="5" s="1"/>
  <c r="D33" i="5" a="1"/>
  <c r="D33" i="5" s="1"/>
  <c r="C33" i="5" a="1"/>
  <c r="C33" i="5" s="1"/>
  <c r="B33" i="5" a="1"/>
  <c r="B33" i="5" s="1"/>
  <c r="A33" i="5"/>
  <c r="Y32" i="5" a="1"/>
  <c r="Y32" i="5" s="1"/>
  <c r="X32" i="5" a="1"/>
  <c r="X32" i="5" s="1"/>
  <c r="E32" i="5" a="1"/>
  <c r="E32" i="5" s="1"/>
  <c r="D32" i="5" a="1"/>
  <c r="D32" i="5" s="1"/>
  <c r="C32" i="5" a="1"/>
  <c r="C32" i="5" s="1"/>
  <c r="B32" i="5" a="1"/>
  <c r="B32" i="5" s="1"/>
  <c r="A32" i="5"/>
  <c r="Y31" i="5" a="1"/>
  <c r="Y31" i="5" s="1"/>
  <c r="X31" i="5" a="1"/>
  <c r="X31" i="5" s="1"/>
  <c r="E31" i="5" a="1"/>
  <c r="E31" i="5" s="1"/>
  <c r="D31" i="5" a="1"/>
  <c r="D31" i="5" s="1"/>
  <c r="C31" i="5" a="1"/>
  <c r="C31" i="5" s="1"/>
  <c r="B31" i="5" a="1"/>
  <c r="B31" i="5" s="1"/>
  <c r="A31" i="5"/>
  <c r="Y30" i="5" a="1"/>
  <c r="Y30" i="5" s="1"/>
  <c r="X30" i="5" a="1"/>
  <c r="X30" i="5" s="1"/>
  <c r="E30" i="5" a="1"/>
  <c r="E30" i="5" s="1"/>
  <c r="D30" i="5" a="1"/>
  <c r="D30" i="5" s="1"/>
  <c r="C30" i="5" a="1"/>
  <c r="C30" i="5" s="1"/>
  <c r="B30" i="5" a="1"/>
  <c r="B30" i="5" s="1"/>
  <c r="A30" i="5"/>
  <c r="Y29" i="5" a="1"/>
  <c r="Y29" i="5" s="1"/>
  <c r="X29" i="5" a="1"/>
  <c r="X29" i="5" s="1"/>
  <c r="E29" i="5" a="1"/>
  <c r="E29" i="5" s="1"/>
  <c r="D29" i="5" a="1"/>
  <c r="D29" i="5" s="1"/>
  <c r="C29" i="5" a="1"/>
  <c r="C29" i="5" s="1"/>
  <c r="B29" i="5" a="1"/>
  <c r="B29" i="5" s="1"/>
  <c r="A29" i="5"/>
  <c r="Y28" i="5" a="1"/>
  <c r="Y28" i="5" s="1"/>
  <c r="X28" i="5" a="1"/>
  <c r="X28" i="5" s="1"/>
  <c r="E28" i="5" a="1"/>
  <c r="E28" i="5" s="1"/>
  <c r="D28" i="5" a="1"/>
  <c r="D28" i="5" s="1"/>
  <c r="C28" i="5" a="1"/>
  <c r="C28" i="5" s="1"/>
  <c r="B28" i="5" a="1"/>
  <c r="B28" i="5" s="1"/>
  <c r="A28" i="5"/>
  <c r="Y27" i="5" a="1"/>
  <c r="Y27" i="5" s="1"/>
  <c r="X27" i="5" a="1"/>
  <c r="X27" i="5" s="1"/>
  <c r="E27" i="5" a="1"/>
  <c r="E27" i="5" s="1"/>
  <c r="D27" i="5" a="1"/>
  <c r="D27" i="5" s="1"/>
  <c r="C27" i="5" a="1"/>
  <c r="C27" i="5" s="1"/>
  <c r="B27" i="5" a="1"/>
  <c r="B27" i="5" s="1"/>
  <c r="A27" i="5"/>
  <c r="Y26" i="5" a="1"/>
  <c r="Y26" i="5" s="1"/>
  <c r="X26" i="5" a="1"/>
  <c r="X26" i="5" s="1"/>
  <c r="E26" i="5" a="1"/>
  <c r="E26" i="5" s="1"/>
  <c r="D26" i="5" a="1"/>
  <c r="D26" i="5" s="1"/>
  <c r="C26" i="5" a="1"/>
  <c r="C26" i="5" s="1"/>
  <c r="B26" i="5" a="1"/>
  <c r="B26" i="5" s="1"/>
  <c r="A26" i="5"/>
  <c r="Y25" i="5" a="1"/>
  <c r="Y25" i="5" s="1"/>
  <c r="X25" i="5" a="1"/>
  <c r="X25" i="5" s="1"/>
  <c r="E25" i="5" a="1"/>
  <c r="E25" i="5" s="1"/>
  <c r="D25" i="5" a="1"/>
  <c r="D25" i="5" s="1"/>
  <c r="C25" i="5" a="1"/>
  <c r="C25" i="5" s="1"/>
  <c r="B25" i="5" a="1"/>
  <c r="B25" i="5" s="1"/>
  <c r="A25" i="5"/>
  <c r="Y24" i="5" a="1"/>
  <c r="Y24" i="5" s="1"/>
  <c r="X24" i="5" a="1"/>
  <c r="X24" i="5" s="1"/>
  <c r="E24" i="5" a="1"/>
  <c r="E24" i="5" s="1"/>
  <c r="D24" i="5" a="1"/>
  <c r="D24" i="5" s="1"/>
  <c r="C24" i="5" a="1"/>
  <c r="C24" i="5" s="1"/>
  <c r="B24" i="5" a="1"/>
  <c r="B24" i="5" s="1"/>
  <c r="A24" i="5"/>
  <c r="Y23" i="5" a="1"/>
  <c r="Y23" i="5" s="1"/>
  <c r="X23" i="5" a="1"/>
  <c r="X23" i="5" s="1"/>
  <c r="E23" i="5" a="1"/>
  <c r="E23" i="5" s="1"/>
  <c r="D23" i="5" a="1"/>
  <c r="D23" i="5" s="1"/>
  <c r="C23" i="5" a="1"/>
  <c r="C23" i="5" s="1"/>
  <c r="B23" i="5" a="1"/>
  <c r="B23" i="5" s="1"/>
  <c r="A23" i="5"/>
  <c r="Y22" i="5" a="1"/>
  <c r="Y22" i="5" s="1"/>
  <c r="X22" i="5" a="1"/>
  <c r="X22" i="5" s="1"/>
  <c r="E22" i="5" a="1"/>
  <c r="E22" i="5" s="1"/>
  <c r="D22" i="5" a="1"/>
  <c r="D22" i="5" s="1"/>
  <c r="C22" i="5" a="1"/>
  <c r="C22" i="5" s="1"/>
  <c r="B22" i="5" a="1"/>
  <c r="B22" i="5" s="1"/>
  <c r="A22" i="5"/>
  <c r="Y21" i="5" a="1"/>
  <c r="Y21" i="5" s="1"/>
  <c r="X21" i="5" a="1"/>
  <c r="X21" i="5" s="1"/>
  <c r="E21" i="5" a="1"/>
  <c r="E21" i="5" s="1"/>
  <c r="D21" i="5" a="1"/>
  <c r="D21" i="5" s="1"/>
  <c r="C21" i="5" a="1"/>
  <c r="C21" i="5" s="1"/>
  <c r="B21" i="5" a="1"/>
  <c r="B21" i="5" s="1"/>
  <c r="A21" i="5"/>
  <c r="Y20" i="5" a="1"/>
  <c r="Y20" i="5" s="1"/>
  <c r="X20" i="5" a="1"/>
  <c r="X20" i="5" s="1"/>
  <c r="E20" i="5" a="1"/>
  <c r="E20" i="5" s="1"/>
  <c r="D20" i="5" a="1"/>
  <c r="D20" i="5" s="1"/>
  <c r="C20" i="5" a="1"/>
  <c r="C20" i="5" s="1"/>
  <c r="B20" i="5" a="1"/>
  <c r="B20" i="5" s="1"/>
  <c r="A20" i="5"/>
  <c r="Y19" i="5" a="1"/>
  <c r="Y19" i="5" s="1"/>
  <c r="X19" i="5" a="1"/>
  <c r="X19" i="5" s="1"/>
  <c r="E19" i="5" a="1"/>
  <c r="E19" i="5" s="1"/>
  <c r="D19" i="5" a="1"/>
  <c r="D19" i="5" s="1"/>
  <c r="C19" i="5" a="1"/>
  <c r="C19" i="5" s="1"/>
  <c r="B19" i="5" a="1"/>
  <c r="B19" i="5" s="1"/>
  <c r="A19" i="5"/>
  <c r="Y18" i="5" a="1"/>
  <c r="Y18" i="5" s="1"/>
  <c r="X18" i="5" a="1"/>
  <c r="X18" i="5" s="1"/>
  <c r="E18" i="5" a="1"/>
  <c r="E18" i="5" s="1"/>
  <c r="D18" i="5" a="1"/>
  <c r="D18" i="5" s="1"/>
  <c r="C18" i="5" a="1"/>
  <c r="C18" i="5" s="1"/>
  <c r="B18" i="5" a="1"/>
  <c r="B18" i="5" s="1"/>
  <c r="A18" i="5"/>
  <c r="Y17" i="5" a="1"/>
  <c r="Y17" i="5" s="1"/>
  <c r="X17" i="5" a="1"/>
  <c r="X17" i="5" s="1"/>
  <c r="E17" i="5" a="1"/>
  <c r="E17" i="5" s="1"/>
  <c r="D17" i="5" a="1"/>
  <c r="D17" i="5" s="1"/>
  <c r="C17" i="5" a="1"/>
  <c r="C17" i="5" s="1"/>
  <c r="B17" i="5" a="1"/>
  <c r="B17" i="5" s="1"/>
  <c r="A17" i="5"/>
  <c r="Y16" i="5" a="1"/>
  <c r="Y16" i="5" s="1"/>
  <c r="X16" i="5" a="1"/>
  <c r="X16" i="5" s="1"/>
  <c r="E16" i="5" a="1"/>
  <c r="E16" i="5" s="1"/>
  <c r="D16" i="5" a="1"/>
  <c r="D16" i="5" s="1"/>
  <c r="C16" i="5" a="1"/>
  <c r="C16" i="5" s="1"/>
  <c r="B16" i="5" a="1"/>
  <c r="B16" i="5" s="1"/>
  <c r="A16" i="5"/>
  <c r="Y15" i="5" a="1"/>
  <c r="Y15" i="5" s="1"/>
  <c r="X15" i="5" a="1"/>
  <c r="X15" i="5" s="1"/>
  <c r="E15" i="5" a="1"/>
  <c r="E15" i="5" s="1"/>
  <c r="D15" i="5" a="1"/>
  <c r="D15" i="5" s="1"/>
  <c r="C15" i="5" a="1"/>
  <c r="C15" i="5" s="1"/>
  <c r="B15" i="5" a="1"/>
  <c r="B15" i="5" s="1"/>
  <c r="A15" i="5"/>
  <c r="A15" i="10" s="1"/>
  <c r="Y14" i="5" a="1"/>
  <c r="Y14" i="5" s="1"/>
  <c r="X14" i="5" a="1"/>
  <c r="X14" i="5" s="1"/>
  <c r="E14" i="5" a="1"/>
  <c r="E14" i="5" s="1"/>
  <c r="D14" i="5" a="1"/>
  <c r="D14" i="5" s="1"/>
  <c r="C14" i="5" a="1"/>
  <c r="C14" i="5" s="1"/>
  <c r="B14" i="5" a="1"/>
  <c r="B14" i="5" s="1"/>
  <c r="A14" i="5"/>
  <c r="A14" i="10" s="1"/>
  <c r="Y13" i="5" a="1"/>
  <c r="Y13" i="5" s="1"/>
  <c r="X13" i="5" a="1"/>
  <c r="X13" i="5" s="1"/>
  <c r="E13" i="5" a="1"/>
  <c r="E13" i="5" s="1"/>
  <c r="D13" i="5" a="1"/>
  <c r="D13" i="5" s="1"/>
  <c r="C13" i="5" a="1"/>
  <c r="C13" i="5" s="1"/>
  <c r="B13" i="5" a="1"/>
  <c r="B13" i="5" s="1"/>
  <c r="A13" i="5"/>
  <c r="A13" i="10" s="1"/>
  <c r="Y12" i="5" a="1"/>
  <c r="Y12" i="5" s="1"/>
  <c r="X12" i="5" a="1"/>
  <c r="X12" i="5" s="1"/>
  <c r="E12" i="5" a="1"/>
  <c r="E12" i="5" s="1"/>
  <c r="D12" i="5" a="1"/>
  <c r="D12" i="5" s="1"/>
  <c r="C12" i="5" a="1"/>
  <c r="C12" i="5" s="1"/>
  <c r="B12" i="5" a="1"/>
  <c r="B12" i="5" s="1"/>
  <c r="A12" i="5"/>
  <c r="A12" i="10" s="1"/>
  <c r="Y11" i="5" a="1"/>
  <c r="Y11" i="5" s="1"/>
  <c r="X11" i="5" a="1"/>
  <c r="X11" i="5" s="1"/>
  <c r="E11" i="5" a="1"/>
  <c r="E11" i="5" s="1"/>
  <c r="D11" i="5" a="1"/>
  <c r="D11" i="5" s="1"/>
  <c r="C11" i="5" a="1"/>
  <c r="C11" i="5" s="1"/>
  <c r="B11" i="5" a="1"/>
  <c r="B11" i="5" s="1"/>
  <c r="A11" i="5"/>
  <c r="A11" i="10" s="1"/>
  <c r="Y10" i="5" a="1"/>
  <c r="Y10" i="5" s="1"/>
  <c r="X10" i="5" a="1"/>
  <c r="X10" i="5" s="1"/>
  <c r="E10" i="5" a="1"/>
  <c r="E10" i="5" s="1"/>
  <c r="D10" i="5" a="1"/>
  <c r="D10" i="5" s="1"/>
  <c r="C10" i="5" a="1"/>
  <c r="C10" i="5" s="1"/>
  <c r="B10" i="5" a="1"/>
  <c r="B10" i="5" s="1"/>
  <c r="A10" i="5"/>
  <c r="A10" i="10" s="1"/>
  <c r="Y9" i="5" a="1"/>
  <c r="Y9" i="5" s="1"/>
  <c r="X9" i="5" a="1"/>
  <c r="X9" i="5" s="1"/>
  <c r="E9" i="5" a="1"/>
  <c r="E9" i="5" s="1"/>
  <c r="D9" i="5" a="1"/>
  <c r="D9" i="5" s="1"/>
  <c r="C9" i="5" a="1"/>
  <c r="C9" i="5" s="1"/>
  <c r="B9" i="5" a="1"/>
  <c r="B9" i="5" s="1"/>
  <c r="A9" i="5"/>
  <c r="A9" i="10" s="1"/>
  <c r="Y8" i="5" a="1"/>
  <c r="Y8" i="5" s="1"/>
  <c r="X8" i="5" a="1"/>
  <c r="X8" i="5" s="1"/>
  <c r="E8" i="5" a="1"/>
  <c r="E8" i="5" s="1"/>
  <c r="D8" i="5" a="1"/>
  <c r="D8" i="5" s="1"/>
  <c r="C8" i="5" a="1"/>
  <c r="C8" i="5" s="1"/>
  <c r="B8" i="5" a="1"/>
  <c r="B8" i="5" s="1"/>
  <c r="A8" i="5"/>
  <c r="A8" i="10" s="1"/>
  <c r="Y7" i="5" a="1"/>
  <c r="Y7" i="5" s="1"/>
  <c r="X7" i="5" a="1"/>
  <c r="X7" i="5" s="1"/>
  <c r="E7" i="5" a="1"/>
  <c r="E7" i="5" s="1"/>
  <c r="D7" i="5" a="1"/>
  <c r="D7" i="5" s="1"/>
  <c r="C7" i="5" a="1"/>
  <c r="C7" i="5" s="1"/>
  <c r="B7" i="5" a="1"/>
  <c r="B7" i="5" s="1"/>
  <c r="A7" i="5"/>
  <c r="A7" i="10" s="1"/>
  <c r="Y6" i="5" a="1"/>
  <c r="Y6" i="5" s="1"/>
  <c r="X6" i="5" a="1"/>
  <c r="X6" i="5" s="1"/>
  <c r="E6" i="5" a="1"/>
  <c r="E6" i="5" s="1"/>
  <c r="D6" i="5" a="1"/>
  <c r="D6" i="5" s="1"/>
  <c r="C6" i="5" a="1"/>
  <c r="C6" i="5" s="1"/>
  <c r="B6" i="5" a="1"/>
  <c r="B6" i="5" s="1"/>
  <c r="A6" i="5"/>
  <c r="A6" i="10" s="1"/>
  <c r="Y5" i="5" a="1"/>
  <c r="Y5" i="5" s="1"/>
  <c r="X5" i="5" a="1"/>
  <c r="X5" i="5" s="1"/>
  <c r="E5" i="5" a="1"/>
  <c r="E5" i="5" s="1"/>
  <c r="D5" i="5" a="1"/>
  <c r="D5" i="5" s="1"/>
  <c r="C5" i="5" a="1"/>
  <c r="C5" i="5" s="1"/>
  <c r="B5" i="5" a="1"/>
  <c r="B5" i="5" s="1"/>
  <c r="A5" i="5"/>
  <c r="A5" i="10" s="1"/>
  <c r="Y4" i="5" a="1"/>
  <c r="Y4" i="5" s="1"/>
  <c r="X4" i="5" a="1"/>
  <c r="X4" i="5" s="1"/>
  <c r="E4" i="5" a="1"/>
  <c r="E4" i="5" s="1"/>
  <c r="D4" i="5" a="1"/>
  <c r="D4" i="5" s="1"/>
  <c r="C4" i="5" a="1"/>
  <c r="C4" i="5" s="1"/>
  <c r="B4" i="5" a="1"/>
  <c r="B4" i="5" s="1"/>
  <c r="A4" i="5"/>
  <c r="A4" i="10" s="1"/>
  <c r="Y3" i="5" a="1"/>
  <c r="Y3" i="5" s="1"/>
  <c r="X3" i="5" a="1"/>
  <c r="X3" i="5" s="1"/>
  <c r="E3" i="5" a="1"/>
  <c r="E3" i="5" s="1"/>
  <c r="D3" i="5" a="1"/>
  <c r="D3" i="5" s="1"/>
  <c r="C3" i="5" a="1"/>
  <c r="C3" i="5" s="1"/>
  <c r="O5" i="2" s="1"/>
  <c r="B3" i="5" a="1"/>
  <c r="B3" i="5" s="1"/>
  <c r="A3" i="5"/>
  <c r="A3" i="10" s="1"/>
  <c r="Y2" i="5" a="1"/>
  <c r="Y2" i="5" s="1"/>
  <c r="X2" i="5" a="1"/>
  <c r="X2" i="5" s="1"/>
  <c r="E2" i="5" a="1"/>
  <c r="E2" i="5" s="1"/>
  <c r="D2" i="5" a="1"/>
  <c r="D2" i="5" s="1"/>
  <c r="C2" i="5" a="1"/>
  <c r="C2" i="5" s="1"/>
  <c r="B2" i="5" a="1"/>
  <c r="B2" i="5" s="1"/>
  <c r="A2" i="5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I12" i="2"/>
  <c r="G4" i="2"/>
  <c r="N5" i="2" l="1"/>
  <c r="N4" i="2"/>
  <c r="A2" i="10"/>
  <c r="O4" i="2"/>
  <c r="J12" i="2"/>
  <c r="I11" i="2"/>
  <c r="D8" i="2" l="1"/>
  <c r="D9" i="2"/>
  <c r="D10" i="2"/>
  <c r="C4" i="2"/>
  <c r="E4" i="2"/>
  <c r="A4" i="2"/>
  <c r="I4" i="2"/>
  <c r="K12" i="2"/>
  <c r="J11" i="2"/>
  <c r="L12" i="2" l="1"/>
  <c r="K11" i="2"/>
  <c r="M12" i="2" l="1"/>
  <c r="L11" i="2"/>
  <c r="N12" i="2" l="1"/>
  <c r="M11" i="2"/>
  <c r="O12" i="2" l="1"/>
  <c r="N11" i="2"/>
  <c r="P12" i="2" l="1"/>
  <c r="O11" i="2"/>
  <c r="Q12" i="2" l="1"/>
  <c r="P11" i="2"/>
  <c r="R12" i="2" l="1"/>
  <c r="Q11" i="2"/>
  <c r="R11" i="2" l="1"/>
  <c r="S12" i="2"/>
  <c r="T12" i="2" l="1"/>
  <c r="S11" i="2"/>
  <c r="U12" i="2" l="1"/>
  <c r="T11" i="2"/>
  <c r="V12" i="2" l="1"/>
  <c r="U11" i="2"/>
  <c r="W12" i="2" l="1"/>
  <c r="V11" i="2"/>
  <c r="X12" i="2" l="1"/>
  <c r="W11" i="2"/>
  <c r="Y12" i="2" l="1"/>
  <c r="X11" i="2"/>
  <c r="Z12" i="2" l="1"/>
  <c r="Y11" i="2"/>
  <c r="AA12" i="2" l="1"/>
  <c r="Z11" i="2"/>
  <c r="AB12" i="2" l="1"/>
  <c r="AA11" i="2"/>
  <c r="AC12" i="2" l="1"/>
  <c r="AB11" i="2"/>
  <c r="AD12" i="2" l="1"/>
  <c r="AC11" i="2"/>
  <c r="AE12" i="2" l="1"/>
  <c r="AD11" i="2"/>
  <c r="AF12" i="2" l="1"/>
  <c r="AE11" i="2"/>
  <c r="AG12" i="2" l="1"/>
  <c r="AF11" i="2"/>
  <c r="AH12" i="2" l="1"/>
  <c r="AG11" i="2"/>
  <c r="AI12" i="2" l="1"/>
  <c r="AH11" i="2"/>
  <c r="AJ12" i="2" l="1"/>
  <c r="AI11" i="2"/>
  <c r="AK12" i="2" l="1"/>
  <c r="AJ11" i="2"/>
  <c r="AL12" i="2" l="1"/>
  <c r="AK11" i="2"/>
  <c r="AM12" i="2" l="1"/>
  <c r="AL11" i="2"/>
  <c r="AN12" i="2" l="1"/>
  <c r="AM11" i="2"/>
  <c r="AO12" i="2" l="1"/>
  <c r="AN11" i="2"/>
  <c r="AP12" i="2" l="1"/>
  <c r="AO11" i="2"/>
  <c r="AQ12" i="2" l="1"/>
  <c r="AP11" i="2"/>
  <c r="AR12" i="2" l="1"/>
  <c r="AQ11" i="2"/>
  <c r="AS12" i="2" l="1"/>
  <c r="AR11" i="2"/>
  <c r="AT12" i="2" l="1"/>
  <c r="AS11" i="2"/>
  <c r="AU12" i="2" l="1"/>
  <c r="AT11" i="2"/>
  <c r="AV12" i="2" l="1"/>
  <c r="AU11" i="2"/>
  <c r="AW12" i="2" l="1"/>
  <c r="AV11" i="2"/>
  <c r="AX12" i="2" l="1"/>
  <c r="AW11" i="2"/>
  <c r="AY12" i="2" l="1"/>
  <c r="AX11" i="2"/>
  <c r="AZ12" i="2" l="1"/>
  <c r="AY11" i="2"/>
  <c r="BA12" i="2" l="1"/>
  <c r="AZ11" i="2"/>
  <c r="BB12" i="2" l="1"/>
  <c r="BA11" i="2"/>
  <c r="BC12" i="2" l="1"/>
  <c r="BB11" i="2"/>
  <c r="BD12" i="2" l="1"/>
  <c r="BC11" i="2"/>
  <c r="BE12" i="2" l="1"/>
  <c r="BD11" i="2"/>
  <c r="BF12" i="2" l="1"/>
  <c r="BE11" i="2"/>
  <c r="BG12" i="2" l="1"/>
  <c r="BF11" i="2"/>
  <c r="BH12" i="2" l="1"/>
  <c r="BG11" i="2"/>
  <c r="BI12" i="2" l="1"/>
  <c r="BH11" i="2"/>
  <c r="BJ12" i="2" l="1"/>
  <c r="BI11" i="2"/>
  <c r="BK12" i="2" l="1"/>
  <c r="BJ11" i="2"/>
  <c r="BL12" i="2" l="1"/>
  <c r="BK11" i="2"/>
  <c r="BM12" i="2" l="1"/>
  <c r="BL11" i="2"/>
  <c r="BN12" i="2" l="1"/>
  <c r="BM11" i="2"/>
  <c r="BO12" i="2" l="1"/>
  <c r="BN11" i="2"/>
  <c r="BP12" i="2" l="1"/>
  <c r="BO11" i="2"/>
  <c r="BQ12" i="2" l="1"/>
  <c r="BP11" i="2"/>
  <c r="BR12" i="2" l="1"/>
  <c r="BQ11" i="2"/>
  <c r="BS12" i="2" l="1"/>
  <c r="BR11" i="2"/>
  <c r="BT12" i="2" l="1"/>
  <c r="BS11" i="2"/>
  <c r="BU12" i="2" l="1"/>
  <c r="BT11" i="2"/>
  <c r="BV12" i="2" l="1"/>
  <c r="BU11" i="2"/>
  <c r="BW12" i="2" l="1"/>
  <c r="BV11" i="2"/>
  <c r="BX12" i="2" l="1"/>
  <c r="BW11" i="2"/>
  <c r="BY12" i="2" l="1"/>
  <c r="BX11" i="2"/>
  <c r="BZ12" i="2" l="1"/>
  <c r="BY11" i="2"/>
  <c r="CA12" i="2" l="1"/>
  <c r="BZ11" i="2"/>
  <c r="CB12" i="2" l="1"/>
  <c r="CA11" i="2"/>
  <c r="CC12" i="2" l="1"/>
  <c r="CB11" i="2"/>
  <c r="CD12" i="2" l="1"/>
  <c r="CC11" i="2"/>
  <c r="CE12" i="2" l="1"/>
  <c r="CD11" i="2"/>
  <c r="CF12" i="2" l="1"/>
  <c r="CE11" i="2"/>
  <c r="CG12" i="2" l="1"/>
  <c r="CF11" i="2"/>
  <c r="CH12" i="2" l="1"/>
  <c r="CG11" i="2"/>
  <c r="CI12" i="2" l="1"/>
  <c r="CH11" i="2"/>
  <c r="CJ12" i="2" l="1"/>
  <c r="CI11" i="2"/>
  <c r="CK12" i="2" l="1"/>
  <c r="CJ11" i="2"/>
  <c r="CL12" i="2" l="1"/>
  <c r="CK11" i="2"/>
  <c r="CM12" i="2" l="1"/>
  <c r="CL11" i="2"/>
  <c r="CN12" i="2" l="1"/>
  <c r="CM11" i="2"/>
  <c r="CO12" i="2" l="1"/>
  <c r="CN11" i="2"/>
  <c r="CP12" i="2" l="1"/>
  <c r="CO11" i="2"/>
  <c r="CQ12" i="2" l="1"/>
  <c r="CP11" i="2"/>
  <c r="CR12" i="2" l="1"/>
  <c r="CQ11" i="2"/>
  <c r="CS12" i="2" l="1"/>
  <c r="CR11" i="2"/>
  <c r="CT12" i="2" l="1"/>
  <c r="CS11" i="2"/>
  <c r="CU12" i="2" l="1"/>
  <c r="CT11" i="2"/>
  <c r="CV12" i="2" l="1"/>
  <c r="CU11" i="2"/>
  <c r="CW12" i="2" l="1"/>
  <c r="CV11" i="2"/>
  <c r="CX12" i="2" l="1"/>
  <c r="CW11" i="2"/>
  <c r="CY12" i="2" l="1"/>
  <c r="CX11" i="2"/>
  <c r="CZ12" i="2" l="1"/>
  <c r="CY11" i="2"/>
  <c r="DA12" i="2" l="1"/>
  <c r="CZ11" i="2"/>
  <c r="DB12" i="2" l="1"/>
  <c r="DA11" i="2"/>
  <c r="DC12" i="2" l="1"/>
  <c r="DB11" i="2"/>
  <c r="DD12" i="2" l="1"/>
  <c r="DC11" i="2"/>
  <c r="DE12" i="2" l="1"/>
  <c r="DD11" i="2"/>
  <c r="DF12" i="2" l="1"/>
  <c r="DE11" i="2"/>
  <c r="DG12" i="2" l="1"/>
  <c r="DF11" i="2"/>
  <c r="DH12" i="2" l="1"/>
  <c r="DG11" i="2"/>
  <c r="DI12" i="2" l="1"/>
  <c r="DH11" i="2"/>
  <c r="DJ12" i="2" l="1"/>
  <c r="DI11" i="2"/>
  <c r="DK12" i="2" l="1"/>
  <c r="DJ11" i="2"/>
  <c r="DL12" i="2" l="1"/>
  <c r="DK11" i="2"/>
  <c r="DM12" i="2" l="1"/>
  <c r="DL11" i="2"/>
  <c r="DN12" i="2" l="1"/>
  <c r="DM11" i="2"/>
  <c r="DO12" i="2" l="1"/>
  <c r="DN11" i="2"/>
  <c r="DP12" i="2" l="1"/>
  <c r="DO11" i="2"/>
  <c r="DQ12" i="2" l="1"/>
  <c r="DP11" i="2"/>
  <c r="DR12" i="2" l="1"/>
  <c r="DQ11" i="2"/>
  <c r="DS12" i="2" l="1"/>
  <c r="DR11" i="2"/>
  <c r="DT12" i="2" l="1"/>
  <c r="DS11" i="2"/>
  <c r="DU12" i="2" l="1"/>
  <c r="DT11" i="2"/>
  <c r="DV12" i="2" l="1"/>
  <c r="DU11" i="2"/>
  <c r="DW12" i="2" l="1"/>
  <c r="DV11" i="2"/>
  <c r="DX12" i="2" l="1"/>
  <c r="DW11" i="2"/>
  <c r="DY12" i="2" l="1"/>
  <c r="DX11" i="2"/>
  <c r="DZ12" i="2" l="1"/>
  <c r="DY11" i="2"/>
  <c r="EA12" i="2" l="1"/>
  <c r="DZ11" i="2"/>
  <c r="EB12" i="2" l="1"/>
  <c r="EA11" i="2"/>
  <c r="EC12" i="2" l="1"/>
  <c r="EB11" i="2"/>
  <c r="ED12" i="2" l="1"/>
  <c r="EC11" i="2"/>
  <c r="EE12" i="2" l="1"/>
  <c r="ED11" i="2"/>
  <c r="EF12" i="2" l="1"/>
  <c r="EE11" i="2"/>
  <c r="EG12" i="2" l="1"/>
  <c r="EF11" i="2"/>
  <c r="EH12" i="2" l="1"/>
  <c r="EG11" i="2"/>
  <c r="EI12" i="2" l="1"/>
  <c r="EH11" i="2"/>
  <c r="EJ12" i="2" l="1"/>
  <c r="EI11" i="2"/>
  <c r="EK12" i="2" l="1"/>
  <c r="EJ11" i="2"/>
  <c r="EL12" i="2" l="1"/>
  <c r="EK11" i="2"/>
  <c r="EM12" i="2" l="1"/>
  <c r="EL11" i="2"/>
  <c r="EN12" i="2" l="1"/>
  <c r="EM11" i="2"/>
  <c r="EO12" i="2" l="1"/>
  <c r="EN11" i="2"/>
  <c r="EP12" i="2" l="1"/>
  <c r="EO11" i="2"/>
  <c r="EQ12" i="2" l="1"/>
  <c r="EP11" i="2"/>
  <c r="ER12" i="2" l="1"/>
  <c r="EQ11" i="2"/>
  <c r="ES12" i="2" l="1"/>
  <c r="ER11" i="2"/>
  <c r="ET12" i="2" l="1"/>
  <c r="ES11" i="2"/>
  <c r="EU12" i="2" l="1"/>
  <c r="ET11" i="2"/>
  <c r="EV12" i="2" l="1"/>
  <c r="EU11" i="2"/>
  <c r="EW12" i="2" l="1"/>
  <c r="EV11" i="2"/>
  <c r="EX12" i="2" l="1"/>
  <c r="EW11" i="2"/>
  <c r="EY12" i="2" l="1"/>
  <c r="EX11" i="2"/>
  <c r="EZ12" i="2" l="1"/>
  <c r="EY11" i="2"/>
  <c r="FA12" i="2" l="1"/>
  <c r="EZ11" i="2"/>
  <c r="FB12" i="2" l="1"/>
  <c r="FA11" i="2"/>
  <c r="FC12" i="2" l="1"/>
  <c r="FB11" i="2"/>
  <c r="FD12" i="2" l="1"/>
  <c r="FC11" i="2"/>
  <c r="FE12" i="2" l="1"/>
  <c r="FD11" i="2"/>
  <c r="FF12" i="2" l="1"/>
  <c r="FE11" i="2"/>
  <c r="FG12" i="2" l="1"/>
  <c r="FF11" i="2"/>
  <c r="FH12" i="2" l="1"/>
  <c r="FG11" i="2"/>
  <c r="FI12" i="2" l="1"/>
  <c r="FH11" i="2"/>
  <c r="FJ12" i="2" l="1"/>
  <c r="FI11" i="2"/>
  <c r="FK12" i="2" l="1"/>
  <c r="FJ11" i="2"/>
  <c r="FL12" i="2" l="1"/>
  <c r="FK11" i="2"/>
  <c r="FM12" i="2" l="1"/>
  <c r="FL11" i="2"/>
  <c r="FN12" i="2" l="1"/>
  <c r="FM11" i="2"/>
  <c r="FO12" i="2" l="1"/>
  <c r="FN11" i="2"/>
  <c r="FP12" i="2" l="1"/>
  <c r="FO11" i="2"/>
  <c r="FQ12" i="2" l="1"/>
  <c r="FP11" i="2"/>
  <c r="FR12" i="2" l="1"/>
  <c r="FQ11" i="2"/>
  <c r="FS12" i="2" l="1"/>
  <c r="FR11" i="2"/>
  <c r="FT12" i="2" l="1"/>
  <c r="FS11" i="2"/>
  <c r="FU12" i="2" l="1"/>
  <c r="FT11" i="2"/>
  <c r="FV12" i="2" l="1"/>
  <c r="FU11" i="2"/>
  <c r="FW12" i="2" l="1"/>
  <c r="FV11" i="2"/>
  <c r="FX12" i="2" l="1"/>
  <c r="FW11" i="2"/>
  <c r="FY12" i="2" l="1"/>
  <c r="FX11" i="2"/>
  <c r="FZ12" i="2" l="1"/>
  <c r="FY11" i="2"/>
  <c r="GA12" i="2" l="1"/>
  <c r="FZ11" i="2"/>
  <c r="GB12" i="2" l="1"/>
  <c r="GA11" i="2"/>
  <c r="GC12" i="2" l="1"/>
  <c r="GB11" i="2"/>
  <c r="GD12" i="2" l="1"/>
  <c r="GC11" i="2"/>
  <c r="GE12" i="2" l="1"/>
  <c r="GD11" i="2"/>
  <c r="GF12" i="2" l="1"/>
  <c r="GE11" i="2"/>
  <c r="GG12" i="2" l="1"/>
  <c r="GF11" i="2"/>
  <c r="GH12" i="2" l="1"/>
  <c r="GG11" i="2"/>
  <c r="GI12" i="2" l="1"/>
  <c r="GH11" i="2"/>
  <c r="GJ12" i="2" l="1"/>
  <c r="GI11" i="2"/>
  <c r="GK12" i="2" l="1"/>
  <c r="GJ11" i="2"/>
  <c r="GL12" i="2" l="1"/>
  <c r="GK11" i="2"/>
  <c r="GM12" i="2" l="1"/>
  <c r="GL11" i="2"/>
  <c r="GN12" i="2" l="1"/>
  <c r="GM11" i="2"/>
  <c r="GO12" i="2" l="1"/>
  <c r="GN11" i="2"/>
  <c r="GP12" i="2" l="1"/>
  <c r="GO11" i="2"/>
  <c r="GQ12" i="2" l="1"/>
  <c r="GP11" i="2"/>
  <c r="GR12" i="2" l="1"/>
  <c r="GQ11" i="2"/>
  <c r="GS12" i="2" l="1"/>
  <c r="GR11" i="2"/>
  <c r="GT12" i="2" l="1"/>
  <c r="GS11" i="2"/>
  <c r="GU12" i="2" l="1"/>
  <c r="GT11" i="2"/>
  <c r="GV12" i="2" l="1"/>
  <c r="GU11" i="2"/>
  <c r="GW12" i="2" l="1"/>
  <c r="GV11" i="2"/>
  <c r="GX12" i="2" l="1"/>
  <c r="GW11" i="2"/>
  <c r="GY12" i="2" l="1"/>
  <c r="GX11" i="2"/>
  <c r="GZ12" i="2" l="1"/>
  <c r="GZ11" i="2" s="1"/>
  <c r="GY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600-000001000000}">
      <text>
        <r>
          <rPr>
            <sz val="10"/>
            <color rgb="FF000000"/>
            <rFont val="Verdana"/>
            <scheme val="minor"/>
          </rPr>
          <t>임시 메모 ** 추후 삭제 예정
- 표 환경이 시작과 끝 준수한지 확인(LaTeX, HTML)
- 수식(LaTeX)
기계적으로 볼 수 있는 수준으로 확인</t>
        </r>
      </text>
    </comment>
  </commentList>
</comments>
</file>

<file path=xl/sharedStrings.xml><?xml version="1.0" encoding="utf-8"?>
<sst xmlns="http://schemas.openxmlformats.org/spreadsheetml/2006/main" count="578" uniqueCount="348">
  <si>
    <t>{프로젝트}_총괄시트</t>
  </si>
  <si>
    <t xml:space="preserve">URL: </t>
  </si>
  <si>
    <t>12yQ9cf_DJyvkVFeRTAHQ8g6rbDJHs8wwXmYrqcQ7wNQ</t>
  </si>
  <si>
    <t>시트 이름</t>
  </si>
  <si>
    <t>용도</t>
  </si>
  <si>
    <t>사용 가이드</t>
  </si>
  <si>
    <t>상세 열 설명</t>
  </si>
  <si>
    <t>1. WBS</t>
  </si>
  <si>
    <t>프로젝트 진행 관리 시트</t>
  </si>
  <si>
    <t xml:space="preserve">각 행은 하나의 작업으로, 수행 가능한 단위로 작성하며 데이터 / 고객사 / 운영 관리 항목 별로 구분하여 사용 가능.
작업 진행에 따라 현황 및 상세 내용을 업데이트 하며 관리.
</t>
  </si>
  <si>
    <r>
      <rPr>
        <b/>
        <sz val="10"/>
        <color rgb="FF434343"/>
        <rFont val="Verdana"/>
      </rPr>
      <t>단계</t>
    </r>
    <r>
      <rPr>
        <sz val="10"/>
        <color theme="1"/>
        <rFont val="Verdana"/>
      </rPr>
      <t xml:space="preserve">: 작업이 수행될 진행 단계를 구분.
</t>
    </r>
    <r>
      <rPr>
        <b/>
        <sz val="10"/>
        <color rgb="FF434343"/>
        <rFont val="Verdana"/>
      </rPr>
      <t>내용</t>
    </r>
    <r>
      <rPr>
        <sz val="10"/>
        <color theme="1"/>
        <rFont val="Verdana"/>
      </rPr>
      <t xml:space="preserve">: 요약 혹은 대표되는 작업을 입력.
</t>
    </r>
    <r>
      <rPr>
        <b/>
        <sz val="10"/>
        <color rgb="FF434343"/>
        <rFont val="Verdana"/>
      </rPr>
      <t>진행 현황</t>
    </r>
    <r>
      <rPr>
        <sz val="10"/>
        <color theme="1"/>
        <rFont val="Verdana"/>
      </rPr>
      <t xml:space="preserve">: 일정 변경되면 연기, 내용이 크게 변경되면 변경을 사용.
</t>
    </r>
    <r>
      <rPr>
        <b/>
        <sz val="10"/>
        <color rgb="FF434343"/>
        <rFont val="Verdana"/>
      </rPr>
      <t>상세 내용</t>
    </r>
    <r>
      <rPr>
        <sz val="10"/>
        <color theme="1"/>
        <rFont val="Verdana"/>
      </rPr>
      <t>: 작업에 대한 상세 내용을 작성하고, 추가·변경된 내용도 업데이트 하며 관리. 다른 색상으로 표기하면 구분 용이.</t>
    </r>
  </si>
  <si>
    <t>2. 도서 정보</t>
  </si>
  <si>
    <t>도서 정보 및 자동화 연동 시트</t>
  </si>
  <si>
    <t xml:space="preserve">도서 기본 정보를 입력하고, 인프라넷과 연동하여 원천데이터를 분석한 내용이 입력됨.(희망)
</t>
  </si>
  <si>
    <r>
      <rPr>
        <b/>
        <sz val="10"/>
        <color rgb="FF434343"/>
        <rFont val="Verdana"/>
      </rPr>
      <t>A열~G열</t>
    </r>
    <r>
      <rPr>
        <sz val="10"/>
        <color theme="1"/>
        <rFont val="Verdana"/>
      </rPr>
      <t xml:space="preserve">: 도서 정보
</t>
    </r>
    <r>
      <rPr>
        <b/>
        <sz val="10"/>
        <color rgb="FF434343"/>
        <rFont val="Verdana"/>
      </rPr>
      <t>H열</t>
    </r>
    <r>
      <rPr>
        <sz val="10"/>
        <color theme="1"/>
        <rFont val="Verdana"/>
      </rPr>
      <t xml:space="preserve">: 문학, 금융 등 도서 분야 분류
</t>
    </r>
    <r>
      <rPr>
        <b/>
        <sz val="10"/>
        <color rgb="FF434343"/>
        <rFont val="Verdana"/>
      </rPr>
      <t>I열~L열</t>
    </r>
    <r>
      <rPr>
        <sz val="10"/>
        <color theme="1"/>
        <rFont val="Verdana"/>
      </rPr>
      <t xml:space="preserve">: 정제 범위 정보
</t>
    </r>
    <r>
      <rPr>
        <b/>
        <sz val="10"/>
        <color rgb="FF434343"/>
        <rFont val="Verdana"/>
      </rPr>
      <t>M열~N열</t>
    </r>
    <r>
      <rPr>
        <sz val="10"/>
        <color theme="1"/>
        <rFont val="Verdana"/>
      </rPr>
      <t xml:space="preserve">: fitz 정보
</t>
    </r>
    <r>
      <rPr>
        <b/>
        <sz val="10"/>
        <color rgb="FF434343"/>
        <rFont val="Verdana"/>
      </rPr>
      <t>O열~S열</t>
    </r>
    <r>
      <rPr>
        <sz val="10"/>
        <color theme="1"/>
        <rFont val="Verdana"/>
      </rPr>
      <t xml:space="preserve">: 라벨 별 개수(백분위 기준 상위 셀서식 조건 존재)
</t>
    </r>
    <r>
      <rPr>
        <b/>
        <sz val="10"/>
        <color rgb="FF434343"/>
        <rFont val="Verdana"/>
      </rPr>
      <t>T열~V열</t>
    </r>
    <r>
      <rPr>
        <sz val="10"/>
        <color theme="1"/>
        <rFont val="Verdana"/>
      </rPr>
      <t xml:space="preserve">: 텍스트 분석 정보
</t>
    </r>
    <r>
      <rPr>
        <b/>
        <sz val="10"/>
        <color rgb="FF434343"/>
        <rFont val="Verdana"/>
      </rPr>
      <t>W열</t>
    </r>
    <r>
      <rPr>
        <sz val="10"/>
        <color theme="1"/>
        <rFont val="Verdana"/>
      </rPr>
      <t>: 분석 정보 기반 난이도 분류(프로젝트 별 활용)</t>
    </r>
  </si>
  <si>
    <t>3. 도서별 작업 현황</t>
  </si>
  <si>
    <t xml:space="preserve">도서별 작업 진행 관리 시트 </t>
  </si>
  <si>
    <t>ID 기준으로 도서에 관한 정보 및 진행이 업데이트 됨.
작업자 관리 시트에서 가져오는 열이 많기 때문에 연동된 열은 작업자 관리 시트에서 수정 권장.</t>
  </si>
  <si>
    <r>
      <rPr>
        <b/>
        <sz val="10"/>
        <color rgb="FF434343"/>
        <rFont val="Verdana"/>
      </rPr>
      <t>A열~E열</t>
    </r>
    <r>
      <rPr>
        <sz val="10"/>
        <color theme="1"/>
        <rFont val="Verdana"/>
      </rPr>
      <t xml:space="preserve">: </t>
    </r>
    <r>
      <rPr>
        <sz val="10"/>
        <color rgb="FF000000"/>
        <rFont val="Verdana"/>
      </rPr>
      <t>도서 정보.(</t>
    </r>
    <r>
      <rPr>
        <b/>
        <sz val="10"/>
        <color rgb="FF0000FF"/>
        <rFont val="Verdana"/>
      </rPr>
      <t>1.도서정보</t>
    </r>
    <r>
      <rPr>
        <sz val="10"/>
        <color rgb="FF1C4587"/>
        <rFont val="Verdana"/>
      </rPr>
      <t xml:space="preserve"> </t>
    </r>
    <r>
      <rPr>
        <sz val="10"/>
        <color rgb="FF000000"/>
        <rFont val="Verdana"/>
      </rPr>
      <t>시트 연동)</t>
    </r>
    <r>
      <rPr>
        <sz val="10"/>
        <color theme="1"/>
        <rFont val="Verdana"/>
      </rPr>
      <t xml:space="preserve">
</t>
    </r>
    <r>
      <rPr>
        <b/>
        <sz val="10"/>
        <color rgb="FF434343"/>
        <rFont val="Verdana"/>
      </rPr>
      <t xml:space="preserve">F열~K열: </t>
    </r>
    <r>
      <rPr>
        <sz val="10"/>
        <color rgb="FF000000"/>
        <rFont val="Verdana"/>
      </rPr>
      <t>bbox&amp;ocr 작업 진행 정보.(</t>
    </r>
    <r>
      <rPr>
        <b/>
        <sz val="10"/>
        <color rgb="FF741B47"/>
        <rFont val="Verdana"/>
      </rPr>
      <t>bbox&amp;ocr 작업자 관리 시트</t>
    </r>
    <r>
      <rPr>
        <sz val="10"/>
        <color rgb="FF000000"/>
        <rFont val="Verdana"/>
      </rPr>
      <t xml:space="preserve"> 연동)</t>
    </r>
    <r>
      <rPr>
        <b/>
        <sz val="10"/>
        <color rgb="FF000000"/>
        <rFont val="Verdana"/>
      </rPr>
      <t xml:space="preserve">
</t>
    </r>
    <r>
      <rPr>
        <b/>
        <sz val="10"/>
        <color rgb="FF434343"/>
        <rFont val="Verdana"/>
      </rPr>
      <t xml:space="preserve">L열~O열: </t>
    </r>
    <r>
      <rPr>
        <sz val="10"/>
        <color rgb="FF000000"/>
        <rFont val="Verdana"/>
      </rPr>
      <t>LaTeX 작업 진행 정보.(</t>
    </r>
    <r>
      <rPr>
        <b/>
        <sz val="10"/>
        <color rgb="FF741B47"/>
        <rFont val="Verdana"/>
      </rPr>
      <t>latex 작업자 관리 시트</t>
    </r>
    <r>
      <rPr>
        <sz val="10"/>
        <color rgb="FF000000"/>
        <rFont val="Verdana"/>
      </rPr>
      <t xml:space="preserve"> 연동)
</t>
    </r>
    <r>
      <rPr>
        <b/>
        <sz val="10"/>
        <color rgb="FF434343"/>
        <rFont val="Verdana"/>
      </rPr>
      <t>P열~</t>
    </r>
    <r>
      <rPr>
        <sz val="10"/>
        <color theme="1"/>
        <rFont val="Verdana"/>
      </rPr>
      <t xml:space="preserve">: </t>
    </r>
    <r>
      <rPr>
        <sz val="10"/>
        <color rgb="FF000000"/>
        <rFont val="Verdana"/>
      </rPr>
      <t>최종 검수 및 파싱. 필요한 추가적인 열 생성 가능.</t>
    </r>
  </si>
  <si>
    <t>4. 작업자 관리</t>
  </si>
  <si>
    <t>작업자 총괄 시트</t>
  </si>
  <si>
    <t>작업자 관리 시트와 별도로 작업자의 평가/보수까지 관리하기 위한 시트. 작업 별 표가 나뉘어져 있으며, 보수에 따라 입력하여 사용.</t>
  </si>
  <si>
    <r>
      <rPr>
        <b/>
        <sz val="10"/>
        <color rgb="FF434343"/>
        <rFont val="Verdana"/>
      </rPr>
      <t>F열~G열</t>
    </r>
    <r>
      <rPr>
        <sz val="10"/>
        <color theme="1"/>
        <rFont val="Verdana"/>
      </rPr>
      <t xml:space="preserve">: 에러 코드 활용 열. 오류 발생 페이지 수 입력. (임시)
</t>
    </r>
    <r>
      <rPr>
        <b/>
        <sz val="10"/>
        <color rgb="FF434343"/>
        <rFont val="Verdana"/>
      </rPr>
      <t>I열~J열</t>
    </r>
    <r>
      <rPr>
        <sz val="10"/>
        <color theme="1"/>
        <rFont val="Verdana"/>
      </rPr>
      <t xml:space="preserve">: </t>
    </r>
    <r>
      <rPr>
        <b/>
        <sz val="10"/>
        <color rgb="FF741B47"/>
        <rFont val="Verdana"/>
      </rPr>
      <t>bbox&amp;ocr 작업자 관리 시트</t>
    </r>
    <r>
      <rPr>
        <sz val="10"/>
        <color theme="1"/>
        <rFont val="Verdana"/>
      </rPr>
      <t xml:space="preserve"> 연동
</t>
    </r>
    <r>
      <rPr>
        <b/>
        <sz val="10"/>
        <color rgb="FF434343"/>
        <rFont val="Verdana"/>
      </rPr>
      <t>V열</t>
    </r>
    <r>
      <rPr>
        <sz val="10"/>
        <color theme="1"/>
        <rFont val="Verdana"/>
      </rPr>
      <t xml:space="preserve">: </t>
    </r>
    <r>
      <rPr>
        <b/>
        <sz val="10"/>
        <color rgb="FF741B47"/>
        <rFont val="Verdana"/>
      </rPr>
      <t>latex 작업자 관리 시트</t>
    </r>
    <r>
      <rPr>
        <sz val="10"/>
        <color theme="1"/>
        <rFont val="Verdana"/>
      </rPr>
      <t xml:space="preserve"> 연동</t>
    </r>
  </si>
  <si>
    <t>5. 납품 전 체크리스트</t>
  </si>
  <si>
    <t>데이터 품질 관리 시트</t>
  </si>
  <si>
    <t>파싱된 데이터 검수 및 관리. 품질 보완에 활용.
현재는 기본적인 항목만 작성된 상태로, 프로젝트 별 검수 항목을 자유롭게 추가하여 사용.</t>
  </si>
  <si>
    <r>
      <rPr>
        <b/>
        <sz val="10"/>
        <color rgb="FF434343"/>
        <rFont val="Verdana"/>
      </rPr>
      <t>A열~D열</t>
    </r>
    <r>
      <rPr>
        <sz val="10"/>
        <color theme="1"/>
        <rFont val="Verdana"/>
      </rPr>
      <t xml:space="preserve">: </t>
    </r>
    <r>
      <rPr>
        <sz val="10"/>
        <color rgb="FF000000"/>
        <rFont val="Verdana"/>
      </rPr>
      <t>도서 정보.(</t>
    </r>
    <r>
      <rPr>
        <b/>
        <sz val="10"/>
        <color rgb="FF0000FF"/>
        <rFont val="Verdana"/>
      </rPr>
      <t>1.도서정보</t>
    </r>
    <r>
      <rPr>
        <sz val="10"/>
        <color rgb="FF000000"/>
        <rFont val="Verdana"/>
      </rPr>
      <t xml:space="preserve"> 시트 연동)
</t>
    </r>
    <r>
      <rPr>
        <b/>
        <sz val="10"/>
        <color rgb="FF434343"/>
        <rFont val="Verdana"/>
      </rPr>
      <t>F열~</t>
    </r>
    <r>
      <rPr>
        <sz val="10"/>
        <color rgb="FF000000"/>
        <rFont val="Verdana"/>
      </rPr>
      <t xml:space="preserve"> : 파싱 후 검수 항목들. 공용 검수툴 기반 반영 필요.</t>
    </r>
  </si>
  <si>
    <t>*PoC</t>
  </si>
  <si>
    <t>착수 전 PoC 활용 시트</t>
  </si>
  <si>
    <t>작업 별 활용 가능하도록 2개 세트로 생성.
진행해야 할 작업에 따라 작업 내용 수정하여 사용.</t>
  </si>
  <si>
    <r>
      <rPr>
        <b/>
        <sz val="10"/>
        <color rgb="FF000000"/>
        <rFont val="Verdana"/>
      </rPr>
      <t>단가</t>
    </r>
    <r>
      <rPr>
        <sz val="10"/>
        <color theme="1"/>
        <rFont val="Verdana"/>
      </rPr>
      <t xml:space="preserve">: 페이지와 시간으로 페이지 당 단가를 계산.(함수 존재)
</t>
    </r>
    <r>
      <rPr>
        <b/>
        <sz val="10"/>
        <color rgb="FF434343"/>
        <rFont val="Verdana"/>
      </rPr>
      <t>서식열</t>
    </r>
    <r>
      <rPr>
        <sz val="10"/>
        <color theme="1"/>
        <rFont val="Verdana"/>
      </rPr>
      <t>: 왼쪽 단가 값에 대한 평균(함수 존재)</t>
    </r>
  </si>
  <si>
    <t>*WER 로그</t>
  </si>
  <si>
    <t>*드롭다운 클래스</t>
  </si>
  <si>
    <t>{프로젝트}_작업자 관리 시트</t>
  </si>
  <si>
    <t>URL :</t>
  </si>
  <si>
    <t>135Pv3GNyfbE2Q4wIPGQTLZCsUJKkhrN1_ha6dyN-n_0</t>
  </si>
  <si>
    <t>1. 확인 사항</t>
  </si>
  <si>
    <t>작업자 확인사항 체크 시트</t>
  </si>
  <si>
    <t>작업자의 기본 정보 입력 후, 작업 전 확인이 필요한 사항에 대해 작업자가 확인하고 직접 체크하는 시트.</t>
  </si>
  <si>
    <r>
      <rPr>
        <b/>
        <sz val="10"/>
        <color rgb="FF434343"/>
        <rFont val="Verdana"/>
      </rPr>
      <t>초록색 서식 열</t>
    </r>
    <r>
      <rPr>
        <sz val="10"/>
        <color theme="1"/>
        <rFont val="Verdana"/>
      </rPr>
      <t xml:space="preserve">: 작업 전 필수로 확인해야 하는 항목.
</t>
    </r>
    <r>
      <rPr>
        <b/>
        <sz val="10"/>
        <color rgb="FF434343"/>
        <rFont val="Verdana"/>
      </rPr>
      <t>분홍색 서식 열</t>
    </r>
    <r>
      <rPr>
        <sz val="10"/>
        <color theme="1"/>
        <rFont val="Verdana"/>
      </rPr>
      <t>: 프로젝트 별 활용 가능한 항목.</t>
    </r>
  </si>
  <si>
    <t>2. 작업 일정</t>
  </si>
  <si>
    <t>작업자 작업 일정 시트</t>
  </si>
  <si>
    <t>작업 전 작업자가 작업 가능한 시간대 및 시간을 입력.
작업 일정 관리와 분배사항에 참고할 수 있고, 작업 기간에 따라 추가 생성 후 관리.</t>
  </si>
  <si>
    <r>
      <rPr>
        <b/>
        <sz val="10"/>
        <color theme="1"/>
        <rFont val="Verdana"/>
      </rPr>
      <t>가능한 총 근무시간</t>
    </r>
    <r>
      <rPr>
        <sz val="10"/>
        <color theme="1"/>
        <rFont val="Verdana"/>
      </rPr>
      <t>: 일주일 합계.(함수 존재)</t>
    </r>
  </si>
  <si>
    <t>3. 작업 현황</t>
  </si>
  <si>
    <t>작업자 대시보드 시트</t>
  </si>
  <si>
    <t>관리용 시트에 입력되어 있는 내용을 기반으로 작업자 별 작업 수량 현황과 현재 작업 도서 현황을 확인 및 관리 가능.
이름과 아이디만 입력하면 대부분 자동 입력되는 열로, 작업 분배나 현황 파악 시 활용.</t>
  </si>
  <si>
    <r>
      <rPr>
        <b/>
        <sz val="10"/>
        <color rgb="FF434343"/>
        <rFont val="Verdana"/>
      </rPr>
      <t>BBOX(OCR) 분배 페이지</t>
    </r>
    <r>
      <rPr>
        <sz val="10"/>
        <color theme="1"/>
        <rFont val="Verdana"/>
      </rPr>
      <t xml:space="preserve">: 작업자 이름이 해당 작업자인 도서의 페이지 수 합계.
</t>
    </r>
    <r>
      <rPr>
        <b/>
        <sz val="10"/>
        <color rgb="FF434343"/>
        <rFont val="Verdana"/>
      </rPr>
      <t>BBOX(OCR) 완료 페이지</t>
    </r>
    <r>
      <rPr>
        <sz val="10"/>
        <color theme="1"/>
        <rFont val="Verdana"/>
      </rPr>
      <t xml:space="preserve">: 작업 상태가 완료 혹은 반려 완료는 도서의 페이지 수 합계.
</t>
    </r>
    <r>
      <rPr>
        <b/>
        <sz val="10"/>
        <color rgb="FF434343"/>
        <rFont val="Verdana"/>
      </rPr>
      <t>소요 기간</t>
    </r>
    <r>
      <rPr>
        <sz val="10"/>
        <color theme="1"/>
        <rFont val="Verdana"/>
      </rPr>
      <t xml:space="preserve">: 분배 날짜로부터 오늘까지의 일 수
</t>
    </r>
    <r>
      <rPr>
        <b/>
        <sz val="10"/>
        <color rgb="FF434343"/>
        <rFont val="Verdana"/>
      </rPr>
      <t>분배 필요</t>
    </r>
    <r>
      <rPr>
        <sz val="10"/>
        <color theme="1"/>
        <rFont val="Verdana"/>
      </rPr>
      <t>: 분배 필요 여부를 빠르게 확인하기 위한 열. "진행중" 혹은 "반려" 상태가 없을 때, 분배 필요 표시.</t>
    </r>
  </si>
  <si>
    <t>4. 관리용(bbox&amp;ocr)</t>
  </si>
  <si>
    <t>도서 별 작업 관리 시트</t>
  </si>
  <si>
    <t>bbox와 ocr 작업자 전용 관리 시트로, latex 작업 전까지 작업 단계를 총괄하여 관리.
총괄시트과 연동되어 있는 내용이 많아, 열을 추가할 시 O열 이후 추가를 권장.</t>
  </si>
  <si>
    <r>
      <rPr>
        <b/>
        <sz val="10"/>
        <color rgb="FF434343"/>
        <rFont val="Verdana"/>
      </rPr>
      <t>A열~E열</t>
    </r>
    <r>
      <rPr>
        <sz val="10"/>
        <color theme="1"/>
        <rFont val="Verdana"/>
      </rPr>
      <t xml:space="preserve">: 도서 정보.(총괄 시트 연동) 저자/출판사 열은 분배 시 활용.
</t>
    </r>
    <r>
      <rPr>
        <b/>
        <sz val="10"/>
        <color rgb="FF434343"/>
        <rFont val="Verdana"/>
      </rPr>
      <t>F열</t>
    </r>
    <r>
      <rPr>
        <sz val="10"/>
        <color theme="1"/>
        <rFont val="Verdana"/>
      </rPr>
      <t xml:space="preserve">: 분배 날짜. 분배 시 직접 입력.
</t>
    </r>
    <r>
      <rPr>
        <b/>
        <sz val="10"/>
        <color rgb="FF434343"/>
        <rFont val="Verdana"/>
      </rPr>
      <t>G열~O열</t>
    </r>
    <r>
      <rPr>
        <sz val="10"/>
        <color theme="1"/>
        <rFont val="Verdana"/>
      </rPr>
      <t>: 총괄 시트에 반영 되는 항목.</t>
    </r>
  </si>
  <si>
    <t>4. 관리용(latex)</t>
  </si>
  <si>
    <t>분배 별 작업 관리 시트</t>
  </si>
  <si>
    <t>2개의 표 존재, A열~G열의 표는 분배 관리 표로 분배 별 수량과 도서 작업 상태를 기록하고 확인.
I열부터 시작하는 표는 작업자 별 관리 표로, 각 행이 하나의 작업자로 제출 폴더 별로 작업 상태 및 검수를 관리.</t>
  </si>
  <si>
    <r>
      <rPr>
        <b/>
        <sz val="10"/>
        <color rgb="FF434343"/>
        <rFont val="Verdana"/>
      </rPr>
      <t>F열~H열</t>
    </r>
    <r>
      <rPr>
        <sz val="10"/>
        <color theme="1"/>
        <rFont val="Verdana"/>
      </rPr>
      <t xml:space="preserve">: 총괄 시트에 반영 되는 항목.
</t>
    </r>
    <r>
      <rPr>
        <b/>
        <sz val="10"/>
        <color theme="1"/>
        <rFont val="Verdana"/>
      </rPr>
      <t>J열~</t>
    </r>
    <r>
      <rPr>
        <sz val="10"/>
        <color theme="1"/>
        <rFont val="Verdana"/>
      </rPr>
      <t>: 분배 관리 표 기준으로 업데이트 되는 항목.(자동 업데이트 희망)</t>
    </r>
  </si>
  <si>
    <t>{프로젝트} 대시보드</t>
  </si>
  <si>
    <t>도서 단계별 현황</t>
  </si>
  <si>
    <t>총 도서 수</t>
  </si>
  <si>
    <t>총 페이지</t>
  </si>
  <si>
    <t>전체 진척도</t>
  </si>
  <si>
    <t>완료 도서</t>
  </si>
  <si>
    <t>진행 도서</t>
  </si>
  <si>
    <t>구분</t>
  </si>
  <si>
    <t>총</t>
  </si>
  <si>
    <t>분배 전</t>
  </si>
  <si>
    <t>BBOX</t>
  </si>
  <si>
    <t>OCR</t>
  </si>
  <si>
    <t>수식표</t>
  </si>
  <si>
    <t>완료</t>
  </si>
  <si>
    <t>권</t>
  </si>
  <si>
    <t>페이지</t>
  </si>
  <si>
    <t>단계</t>
  </si>
  <si>
    <t>분배 페이지</t>
  </si>
  <si>
    <t>완료 페이지</t>
  </si>
  <si>
    <t>완료율</t>
  </si>
  <si>
    <r>
      <rPr>
        <sz val="9"/>
        <color rgb="FF2A2A2A"/>
        <rFont val="Arial"/>
      </rPr>
      <t xml:space="preserve">기준
• 단계 현황은 </t>
    </r>
    <r>
      <rPr>
        <sz val="9"/>
        <color rgb="FF2A2A2A"/>
        <rFont val="Roboto"/>
      </rPr>
      <t xml:space="preserve">3. </t>
    </r>
    <r>
      <rPr>
        <sz val="9"/>
        <color rgb="FF2A2A2A"/>
        <rFont val="Arial"/>
      </rPr>
      <t xml:space="preserve">도서별 작업 현황 시트 기준
• 전체 진척도 </t>
    </r>
    <r>
      <rPr>
        <sz val="9"/>
        <color rgb="FF2A2A2A"/>
        <rFont val="Roboto"/>
      </rPr>
      <t xml:space="preserve">= (BBOX </t>
    </r>
    <r>
      <rPr>
        <sz val="9"/>
        <color rgb="FF2A2A2A"/>
        <rFont val="Arial"/>
      </rPr>
      <t xml:space="preserve">완료 </t>
    </r>
    <r>
      <rPr>
        <sz val="9"/>
        <color rgb="FF2A2A2A"/>
        <rFont val="Roboto"/>
      </rPr>
      <t xml:space="preserve">+ OCR </t>
    </r>
    <r>
      <rPr>
        <sz val="9"/>
        <color rgb="FF2A2A2A"/>
        <rFont val="Arial"/>
      </rPr>
      <t xml:space="preserve">완료 </t>
    </r>
    <r>
      <rPr>
        <sz val="9"/>
        <color rgb="FF2A2A2A"/>
        <rFont val="Roboto"/>
      </rPr>
      <t xml:space="preserve">+ </t>
    </r>
    <r>
      <rPr>
        <sz val="9"/>
        <color rgb="FF2A2A2A"/>
        <rFont val="Arial"/>
      </rPr>
      <t>수식표 완료</t>
    </r>
    <r>
      <rPr>
        <sz val="9"/>
        <color rgb="FF2A2A2A"/>
        <rFont val="Roboto"/>
      </rPr>
      <t>) ÷ (</t>
    </r>
    <r>
      <rPr>
        <sz val="9"/>
        <color rgb="FF2A2A2A"/>
        <rFont val="Arial"/>
      </rPr>
      <t xml:space="preserve">총 페이지 </t>
    </r>
    <r>
      <rPr>
        <sz val="9"/>
        <color rgb="FF2A2A2A"/>
        <rFont val="Roboto"/>
      </rPr>
      <t>× 3)
• 완료 도서는 수식표 완료 페이지가 입력된 도서 기준</t>
    </r>
  </si>
  <si>
    <t>TASK</t>
  </si>
  <si>
    <t>담당자</t>
  </si>
  <si>
    <t>시작일</t>
  </si>
  <si>
    <t>종료일</t>
  </si>
  <si>
    <t>산출물</t>
  </si>
  <si>
    <t>세부내용</t>
  </si>
  <si>
    <t>프로젝트 설계</t>
  </si>
  <si>
    <t>PM</t>
  </si>
  <si>
    <t>2026.01.05</t>
  </si>
  <si>
    <r>
      <rPr>
        <sz val="10"/>
        <color rgb="FF2A2A2A"/>
        <rFont val="Roboto"/>
      </rPr>
      <t xml:space="preserve">BBOX </t>
    </r>
    <r>
      <rPr>
        <sz val="10"/>
        <color rgb="FF2A2A2A"/>
        <rFont val="Noto Sans CJK SC"/>
      </rPr>
      <t>작업</t>
    </r>
  </si>
  <si>
    <t>DA1</t>
  </si>
  <si>
    <t>진행 중</t>
  </si>
  <si>
    <t>기준안 협의</t>
  </si>
  <si>
    <t>보류</t>
  </si>
  <si>
    <t>시작 전</t>
  </si>
  <si>
    <t xml:space="preserve"> * BBOX 수</t>
  </si>
  <si>
    <t>* 포함 비율</t>
  </si>
  <si>
    <t>* 개</t>
  </si>
  <si>
    <t>ID</t>
  </si>
  <si>
    <t>도서명</t>
  </si>
  <si>
    <t>ISBN</t>
  </si>
  <si>
    <t>저자</t>
  </si>
  <si>
    <t>출판사</t>
  </si>
  <si>
    <t>출판일</t>
  </si>
  <si>
    <t>포맷</t>
  </si>
  <si>
    <t>분류</t>
  </si>
  <si>
    <t>전체 페이지</t>
  </si>
  <si>
    <t>시작 페이지</t>
  </si>
  <si>
    <t>끝 페이지</t>
  </si>
  <si>
    <t>작업 페이지</t>
  </si>
  <si>
    <t>추출 방식</t>
  </si>
  <si>
    <t>텍스트</t>
  </si>
  <si>
    <t>타이틀</t>
  </si>
  <si>
    <t>캡션</t>
  </si>
  <si>
    <t>이미지</t>
  </si>
  <si>
    <t>수식</t>
  </si>
  <si>
    <t>표</t>
  </si>
  <si>
    <t>차트</t>
  </si>
  <si>
    <t>각주</t>
  </si>
  <si>
    <t>아이템</t>
  </si>
  <si>
    <t>빈 텍스트 박스</t>
  </si>
  <si>
    <t>띄어쓰기</t>
  </si>
  <si>
    <t>영어</t>
  </si>
  <si>
    <t>기타 외국어</t>
  </si>
  <si>
    <t>특수문자</t>
  </si>
  <si>
    <t>어절</t>
  </si>
  <si>
    <t>박스(&lt;2)</t>
  </si>
  <si>
    <t>다단 의심</t>
  </si>
  <si>
    <t>다단 여부</t>
  </si>
  <si>
    <t>난이도</t>
  </si>
  <si>
    <t>특이사항</t>
  </si>
  <si>
    <t>SS0001</t>
  </si>
  <si>
    <t>도서1</t>
  </si>
  <si>
    <t>pdf</t>
  </si>
  <si>
    <t>fitz</t>
  </si>
  <si>
    <t>다단 도서</t>
  </si>
  <si>
    <t>A</t>
  </si>
  <si>
    <t>SS0002</t>
  </si>
  <si>
    <t>도서2</t>
  </si>
  <si>
    <t>epub</t>
  </si>
  <si>
    <t>gemini</t>
  </si>
  <si>
    <t>일부 존재</t>
  </si>
  <si>
    <t>C</t>
  </si>
  <si>
    <t>SS0003</t>
  </si>
  <si>
    <t>도서3</t>
  </si>
  <si>
    <t>GPT</t>
  </si>
  <si>
    <t>SS0004</t>
  </si>
  <si>
    <t>도서4</t>
  </si>
  <si>
    <t>내부 모델</t>
  </si>
  <si>
    <t>SS0005</t>
  </si>
  <si>
    <t>SS0006</t>
  </si>
  <si>
    <t>SS0007</t>
  </si>
  <si>
    <t>SS0008</t>
  </si>
  <si>
    <t>SS0009</t>
  </si>
  <si>
    <t>SS0010</t>
  </si>
  <si>
    <t>SS0011</t>
  </si>
  <si>
    <t>SS0012</t>
  </si>
  <si>
    <t>SS0013</t>
  </si>
  <si>
    <t>SS0014</t>
  </si>
  <si>
    <t>SS0015</t>
  </si>
  <si>
    <t>SS0016</t>
  </si>
  <si>
    <t>SS0017</t>
  </si>
  <si>
    <t>SS0018</t>
  </si>
  <si>
    <t>SS0019</t>
  </si>
  <si>
    <t>SS0020</t>
  </si>
  <si>
    <t>SS0021</t>
  </si>
  <si>
    <t>SS0022</t>
  </si>
  <si>
    <t>SS0023</t>
  </si>
  <si>
    <t>SS0024</t>
  </si>
  <si>
    <t>SS0025</t>
  </si>
  <si>
    <t>SS0026</t>
  </si>
  <si>
    <t>SS0027</t>
  </si>
  <si>
    <t>SS0028</t>
  </si>
  <si>
    <t>SS0029</t>
  </si>
  <si>
    <t>SS0030</t>
  </si>
  <si>
    <t>SS0031</t>
  </si>
  <si>
    <t>SS0032</t>
  </si>
  <si>
    <t>SS0033</t>
  </si>
  <si>
    <t>SS0034</t>
  </si>
  <si>
    <t>SS0035</t>
  </si>
  <si>
    <t>SS0036</t>
  </si>
  <si>
    <t>SS0037</t>
  </si>
  <si>
    <t>SS0038</t>
  </si>
  <si>
    <t>SS0039</t>
  </si>
  <si>
    <t>SS0040</t>
  </si>
  <si>
    <t>SS0041</t>
  </si>
  <si>
    <t>SS0042</t>
  </si>
  <si>
    <t>SS0043</t>
  </si>
  <si>
    <t>SS0044</t>
  </si>
  <si>
    <t>SS0045</t>
  </si>
  <si>
    <t>SS0046</t>
  </si>
  <si>
    <t>SS0047</t>
  </si>
  <si>
    <t>SS0048</t>
  </si>
  <si>
    <t>SS0049</t>
  </si>
  <si>
    <t>SS0050</t>
  </si>
  <si>
    <t>SS0051</t>
  </si>
  <si>
    <t>SS0052</t>
  </si>
  <si>
    <t>SS0053</t>
  </si>
  <si>
    <t>SS0054</t>
  </si>
  <si>
    <t>SS0055</t>
  </si>
  <si>
    <t>SS0056</t>
  </si>
  <si>
    <t>SS0057</t>
  </si>
  <si>
    <t>SS0058</t>
  </si>
  <si>
    <t>SS0059</t>
  </si>
  <si>
    <t>SS0060</t>
  </si>
  <si>
    <t>SS0061</t>
  </si>
  <si>
    <t>SS0062</t>
  </si>
  <si>
    <t>SS0063</t>
  </si>
  <si>
    <t>SS0064</t>
  </si>
  <si>
    <t>SS0065</t>
  </si>
  <si>
    <t>SS0066</t>
  </si>
  <si>
    <t>SS0067</t>
  </si>
  <si>
    <t>SS0068</t>
  </si>
  <si>
    <t>SS0069</t>
  </si>
  <si>
    <t>SS0070</t>
  </si>
  <si>
    <t>SS0071</t>
  </si>
  <si>
    <t>SS0072</t>
  </si>
  <si>
    <t>SS0073</t>
  </si>
  <si>
    <t>SS0074</t>
  </si>
  <si>
    <t>SS0075</t>
  </si>
  <si>
    <t>SS0076</t>
  </si>
  <si>
    <t>SS0077</t>
  </si>
  <si>
    <t>SS0078</t>
  </si>
  <si>
    <t>SS0079</t>
  </si>
  <si>
    <t>SS0080</t>
  </si>
  <si>
    <t>SS0081</t>
  </si>
  <si>
    <t>SS0082</t>
  </si>
  <si>
    <t>SS0083</t>
  </si>
  <si>
    <t>SS0084</t>
  </si>
  <si>
    <t>SS0085</t>
  </si>
  <si>
    <t>SS0086</t>
  </si>
  <si>
    <t>SS0087</t>
  </si>
  <si>
    <t>SS0088</t>
  </si>
  <si>
    <t>SS0089</t>
  </si>
  <si>
    <t>SS0090</t>
  </si>
  <si>
    <t>SS0091</t>
  </si>
  <si>
    <t>SS0092</t>
  </si>
  <si>
    <t>SS0093</t>
  </si>
  <si>
    <t>SS0094</t>
  </si>
  <si>
    <t>SS0095</t>
  </si>
  <si>
    <t>SS0096</t>
  </si>
  <si>
    <t>SS0097</t>
  </si>
  <si>
    <t>SS0098</t>
  </si>
  <si>
    <t>SS0099</t>
  </si>
  <si>
    <t>SS0100</t>
  </si>
  <si>
    <t>SS0101</t>
  </si>
  <si>
    <t>SS0102</t>
  </si>
  <si>
    <t>SS0103</t>
  </si>
  <si>
    <t>SS0104</t>
  </si>
  <si>
    <t>SS0105</t>
  </si>
  <si>
    <t>SS0106</t>
  </si>
  <si>
    <t>SS0107</t>
  </si>
  <si>
    <t>SS0179</t>
  </si>
  <si>
    <t>SS0230</t>
  </si>
  <si>
    <t>open_data_2st</t>
  </si>
  <si>
    <t>55</t>
  </si>
  <si>
    <t>71</t>
  </si>
  <si>
    <t>39</t>
  </si>
  <si>
    <t>33</t>
  </si>
  <si>
    <t>2450</t>
  </si>
  <si>
    <t>0.2038</t>
  </si>
  <si>
    <t>0.0061</t>
  </si>
  <si>
    <t>0.0007</t>
  </si>
  <si>
    <t>0.2260</t>
  </si>
  <si>
    <t>2707</t>
  </si>
  <si>
    <t>14</t>
  </si>
  <si>
    <t>34</t>
  </si>
  <si>
    <t>BBOX 분배</t>
  </si>
  <si>
    <t>BBOX 완료</t>
  </si>
  <si>
    <t>BBOX 작업자</t>
  </si>
  <si>
    <t>BBOX 작업 상태</t>
  </si>
  <si>
    <t>BBOX 검수자</t>
  </si>
  <si>
    <t>OCR 분배</t>
  </si>
  <si>
    <t>OCR 완료</t>
  </si>
  <si>
    <t>OCR 작업자</t>
  </si>
  <si>
    <t>OCR 작업 상태</t>
  </si>
  <si>
    <t>OCR 검수자</t>
  </si>
  <si>
    <t>수식표 분배</t>
  </si>
  <si>
    <t>수식표 완료</t>
  </si>
  <si>
    <t>수식표 작업 상태</t>
  </si>
  <si>
    <t>최종 폴더</t>
  </si>
  <si>
    <t>정렬 검사</t>
  </si>
  <si>
    <t>최종 검수자</t>
  </si>
  <si>
    <t>WER 검수 상태</t>
  </si>
  <si>
    <t>WER 검수자</t>
  </si>
  <si>
    <t>WER 검수 결과</t>
  </si>
  <si>
    <t>납품 전 체크리스트</t>
  </si>
  <si>
    <t>납품 차수</t>
  </si>
  <si>
    <t>비고</t>
  </si>
  <si>
    <t>작업자2(pmadmin162)</t>
  </si>
  <si>
    <t>검수 완료</t>
  </si>
  <si>
    <t>작업자1(abc)</t>
  </si>
  <si>
    <t>작업 완료</t>
  </si>
  <si>
    <t>업로드X</t>
  </si>
  <si>
    <t>샘플 납품</t>
  </si>
  <si>
    <t>최종 납품</t>
  </si>
  <si>
    <t>이름(아이디)</t>
  </si>
  <si>
    <t>이름</t>
  </si>
  <si>
    <t>아이디</t>
  </si>
  <si>
    <t>이메일</t>
  </si>
  <si>
    <t>작업 중 폴더</t>
  </si>
  <si>
    <t>작업 단계</t>
  </si>
  <si>
    <t>현재 작업량</t>
  </si>
  <si>
    <t>BBOX 작업량</t>
  </si>
  <si>
    <t>OCR 작업량</t>
  </si>
  <si>
    <t>테스트 평가</t>
  </si>
  <si>
    <t>최종 평가</t>
  </si>
  <si>
    <t>수식표 작업량</t>
  </si>
  <si>
    <t>평가</t>
  </si>
  <si>
    <t>작업자1</t>
  </si>
  <si>
    <t>abc</t>
  </si>
  <si>
    <t>작업자2</t>
  </si>
  <si>
    <t>pmadmin162</t>
  </si>
  <si>
    <t>박스 포함 관계 검사</t>
  </si>
  <si>
    <t>빈 라벨 검사</t>
  </si>
  <si>
    <t>(파싱 전)
태그 페어 검사</t>
  </si>
  <si>
    <t>노이즈 문자 검사</t>
  </si>
  <si>
    <t>수식표 환경 매칭 검사</t>
  </si>
  <si>
    <t>파싱</t>
  </si>
  <si>
    <t>데이터 스키마 유효성 검사</t>
  </si>
  <si>
    <t>(파싱 후)
태그 페어 검사</t>
  </si>
  <si>
    <t>크롭 이미지 육안 검사</t>
  </si>
  <si>
    <t>(문제집 유형)
문제 유효성 검사</t>
  </si>
  <si>
    <t>2026년 최저 시급</t>
  </si>
  <si>
    <r>
      <rPr>
        <b/>
        <sz val="11"/>
        <color theme="1"/>
        <rFont val="Arial"/>
        <family val="2"/>
      </rPr>
      <t>BBOX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작업</t>
    </r>
    <r>
      <rPr>
        <sz val="11"/>
        <color theme="1"/>
        <rFont val="Arial"/>
        <family val="2"/>
      </rPr>
      <t xml:space="preserve"> : DLA 보정
</t>
    </r>
    <r>
      <rPr>
        <b/>
        <sz val="11"/>
        <color theme="1"/>
        <rFont val="Arial"/>
        <family val="2"/>
      </rPr>
      <t>OCR 작업</t>
    </r>
    <r>
      <rPr>
        <sz val="11"/>
        <color theme="1"/>
        <rFont val="Arial"/>
        <family val="2"/>
      </rPr>
      <t xml:space="preserve"> : OCR, 태그 작업</t>
    </r>
  </si>
  <si>
    <r>
      <rPr>
        <b/>
        <sz val="11"/>
        <color theme="1"/>
        <rFont val="Arial"/>
        <family val="2"/>
      </rPr>
      <t>LaTeX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작업</t>
    </r>
    <r>
      <rPr>
        <sz val="11"/>
        <color theme="1"/>
        <rFont val="Arial"/>
        <family val="2"/>
      </rPr>
      <t xml:space="preserve"> : 추출된 LaTeX 수식 수정
</t>
    </r>
    <r>
      <rPr>
        <b/>
        <sz val="11"/>
        <color theme="1"/>
        <rFont val="Arial"/>
        <family val="2"/>
      </rPr>
      <t>HTML 작업</t>
    </r>
    <r>
      <rPr>
        <sz val="11"/>
        <color theme="1"/>
        <rFont val="Arial"/>
        <family val="2"/>
      </rPr>
      <t xml:space="preserve"> : 추출된 HTML 표 수정</t>
    </r>
  </si>
  <si>
    <t>BBOX&amp;OCR</t>
  </si>
  <si>
    <t>HTML_표 / LaTeX_수식</t>
  </si>
  <si>
    <t>도서ID</t>
  </si>
  <si>
    <t>작업자</t>
  </si>
  <si>
    <t>페이지 수</t>
  </si>
  <si>
    <t>작업 시간(s)</t>
  </si>
  <si>
    <t>단가</t>
  </si>
  <si>
    <t>SS</t>
  </si>
  <si>
    <t>코드네임</t>
  </si>
  <si>
    <t>작업명</t>
  </si>
  <si>
    <t>작업량</t>
  </si>
  <si>
    <t>검수 페이지</t>
  </si>
  <si>
    <t>검수 페이지 비율</t>
  </si>
  <si>
    <t>검사 어절 수</t>
  </si>
  <si>
    <t>오류 어절 수</t>
  </si>
  <si>
    <t>1-WER</t>
  </si>
  <si>
    <t>수정 후 1-WER</t>
  </si>
  <si>
    <t>검수자</t>
  </si>
  <si>
    <t>작업 상태</t>
  </si>
  <si>
    <t>분배X</t>
  </si>
  <si>
    <t>B</t>
  </si>
  <si>
    <t>DA2</t>
  </si>
  <si>
    <t>분류1</t>
    <phoneticPr fontId="43" type="noConversion"/>
  </si>
  <si>
    <t>분류2</t>
    <phoneticPr fontId="43" type="noConversion"/>
  </si>
  <si>
    <t>분류3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</si>
</sst>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0.0%"/>
    <numFmt numFmtId="177" formatCode="d"/>
    <numFmt numFmtId="178" formatCode="yyyy&quot;. &quot;m&quot;. &quot;d"/>
    <numFmt numFmtId="179" formatCode="_-* #,##0_-;\-* #,##0_-;_-* &quot;-&quot;_-;_-@"/>
    <numFmt numFmtId="180" formatCode="yyyy\.\ m\.\ d\ am/pm\ h:mm:ss"/>
    <numFmt numFmtId="181" formatCode="[$₩-412]#,##0"/>
    <numFmt numFmtId="182" formatCode="m\-d"/>
    <numFmt numFmtId="183" formatCode="0.000"/>
  </numFmts>
  <fonts count="46">
    <font>
      <sz val="10"/>
      <color rgb="FF000000"/>
      <name val="Verdana"/>
      <scheme val="minor"/>
    </font>
    <font>
      <sz val="10"/>
      <color theme="1"/>
      <name val="Verdana"/>
      <scheme val="minor"/>
    </font>
    <font>
      <b/>
      <sz val="10"/>
      <color theme="1"/>
      <name val="Verdana"/>
      <scheme val="minor"/>
    </font>
    <font>
      <sz val="10"/>
      <name val="Verdana"/>
    </font>
    <font>
      <sz val="10"/>
      <color rgb="FF000000"/>
      <name val="Verdana"/>
      <scheme val="minor"/>
    </font>
    <font>
      <b/>
      <sz val="10"/>
      <color rgb="FF434343"/>
      <name val="Verdana"/>
      <scheme val="minor"/>
    </font>
    <font>
      <b/>
      <sz val="16"/>
      <color rgb="FF356854"/>
      <name val="Noto Sans"/>
    </font>
    <font>
      <sz val="10"/>
      <color rgb="FF5F6368"/>
      <name val="Roboto"/>
    </font>
    <font>
      <b/>
      <sz val="10"/>
      <color rgb="FFFFFFFF"/>
      <name val="Noto Sans"/>
    </font>
    <font>
      <b/>
      <sz val="10"/>
      <color rgb="FFFFFFFF"/>
      <name val="Roboto"/>
    </font>
    <font>
      <b/>
      <sz val="16"/>
      <color rgb="FF356854"/>
      <name val="Roboto"/>
    </font>
    <font>
      <b/>
      <sz val="9"/>
      <color rgb="FF2A2A2A"/>
      <name val="Noto Sans"/>
    </font>
    <font>
      <sz val="9"/>
      <color rgb="FF2A2A2A"/>
      <name val="Roboto"/>
    </font>
    <font>
      <sz val="10"/>
      <color rgb="FF000000"/>
      <name val="Verdana"/>
    </font>
    <font>
      <sz val="9"/>
      <color rgb="FF2A2A2A"/>
      <name val="Noto Sans"/>
    </font>
    <font>
      <b/>
      <sz val="9"/>
      <color rgb="FF2A2A2A"/>
      <name val="Roboto"/>
    </font>
    <font>
      <b/>
      <sz val="9"/>
      <color rgb="FF356854"/>
      <name val="Roboto"/>
    </font>
    <font>
      <b/>
      <sz val="10"/>
      <color theme="1"/>
      <name val="Roboto"/>
    </font>
    <font>
      <b/>
      <sz val="10"/>
      <color theme="1"/>
      <name val="Noto Sans"/>
    </font>
    <font>
      <sz val="9"/>
      <color rgb="FF356854"/>
      <name val="Roboto"/>
    </font>
    <font>
      <sz val="10"/>
      <color rgb="FF2A2A2A"/>
      <name val="Noto Sans"/>
    </font>
    <font>
      <sz val="10"/>
      <color rgb="FF2A2A2A"/>
      <name val="Roboto"/>
    </font>
    <font>
      <b/>
      <sz val="10"/>
      <color theme="1"/>
      <name val="Verdana"/>
      <scheme val="minor"/>
    </font>
    <font>
      <b/>
      <sz val="8"/>
      <color theme="1"/>
      <name val="Verdana"/>
      <scheme val="minor"/>
    </font>
    <font>
      <sz val="10"/>
      <color rgb="FF434343"/>
      <name val="Roboto"/>
    </font>
    <font>
      <sz val="10"/>
      <color theme="1"/>
      <name val="Verdana"/>
      <scheme val="minor"/>
    </font>
    <font>
      <sz val="10"/>
      <color rgb="FFFFFFFF"/>
      <name val="Roboto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rgb="FF1A1A1A"/>
      <name val="Arial"/>
    </font>
    <font>
      <b/>
      <sz val="10"/>
      <color rgb="FF434343"/>
      <name val="Verdana"/>
    </font>
    <font>
      <sz val="10"/>
      <color theme="1"/>
      <name val="Verdana"/>
    </font>
    <font>
      <b/>
      <sz val="10"/>
      <color rgb="FF0000FF"/>
      <name val="Verdana"/>
    </font>
    <font>
      <sz val="10"/>
      <color rgb="FF1C4587"/>
      <name val="Verdana"/>
    </font>
    <font>
      <b/>
      <sz val="10"/>
      <color rgb="FF741B47"/>
      <name val="Verdana"/>
    </font>
    <font>
      <b/>
      <sz val="10"/>
      <color rgb="FF000000"/>
      <name val="Verdana"/>
    </font>
    <font>
      <b/>
      <sz val="10"/>
      <color theme="1"/>
      <name val="Verdana"/>
    </font>
    <font>
      <sz val="9"/>
      <color rgb="FF2A2A2A"/>
      <name val="Arial"/>
    </font>
    <font>
      <sz val="10"/>
      <color rgb="FF2A2A2A"/>
      <name val="Noto Sans CJK SC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Verdana"/>
      <family val="3"/>
      <charset val="129"/>
      <scheme val="minor"/>
    </font>
    <font>
      <b/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356854"/>
        <bgColor rgb="FF356854"/>
      </patternFill>
    </fill>
    <fill>
      <patternFill patternType="solid">
        <fgColor rgb="FFE7F0ED"/>
        <bgColor rgb="FFE7F0ED"/>
      </patternFill>
    </fill>
    <fill>
      <patternFill patternType="solid">
        <fgColor rgb="FFD8E8E3"/>
        <bgColor rgb="FFD8E8E3"/>
      </patternFill>
    </fill>
    <fill>
      <patternFill patternType="solid">
        <fgColor rgb="FFE8ECEF"/>
        <bgColor rgb="FFE8ECEF"/>
      </patternFill>
    </fill>
    <fill>
      <patternFill patternType="solid">
        <fgColor rgb="FFDDEBFA"/>
        <bgColor rgb="FFDDEBFA"/>
      </patternFill>
    </fill>
    <fill>
      <patternFill patternType="solid">
        <fgColor rgb="FFFCE8C3"/>
        <bgColor rgb="FFFCE8C3"/>
      </patternFill>
    </fill>
    <fill>
      <patternFill patternType="solid">
        <fgColor rgb="FFE8D9F3"/>
        <bgColor rgb="FFE8D9F3"/>
      </patternFill>
    </fill>
    <fill>
      <patternFill patternType="solid">
        <fgColor rgb="FFD9EAD3"/>
        <bgColor rgb="FFD9EAD3"/>
      </patternFill>
    </fill>
    <fill>
      <patternFill patternType="solid">
        <fgColor rgb="FFF3F4F4"/>
        <bgColor rgb="FFF3F4F4"/>
      </patternFill>
    </fill>
    <fill>
      <patternFill patternType="solid">
        <fgColor rgb="FFF7FAF9"/>
        <bgColor rgb="FFF7FAF9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D0E0E3"/>
        <bgColor rgb="FFD0E0E3"/>
      </patternFill>
    </fill>
    <fill>
      <patternFill patternType="solid">
        <fgColor rgb="FFF2F6F7"/>
        <bgColor rgb="FFF2F6F7"/>
      </patternFill>
    </fill>
    <fill>
      <patternFill patternType="solid">
        <fgColor rgb="FFFDFEFE"/>
        <bgColor rgb="FFFDFEFE"/>
      </patternFill>
    </fill>
    <fill>
      <patternFill patternType="solid">
        <fgColor rgb="FFD6E4E7"/>
        <bgColor rgb="FFD6E4E7"/>
      </patternFill>
    </fill>
    <fill>
      <patternFill patternType="solid">
        <fgColor rgb="FFC0D9C8"/>
        <bgColor rgb="FFC0D9C8"/>
      </patternFill>
    </fill>
    <fill>
      <patternFill patternType="solid">
        <fgColor rgb="FF93C47D"/>
        <bgColor rgb="FF93C47D"/>
      </patternFill>
    </fill>
    <fill>
      <patternFill patternType="solid">
        <fgColor rgb="FFFEFFFF"/>
        <bgColor rgb="FFFEFFFF"/>
      </patternFill>
    </fill>
    <fill>
      <patternFill patternType="solid">
        <fgColor rgb="FFCADED9"/>
        <bgColor rgb="FFCADED9"/>
      </patternFill>
    </fill>
    <fill>
      <patternFill patternType="solid">
        <fgColor rgb="FF373F6B"/>
        <bgColor rgb="FF373F6B"/>
      </patternFill>
    </fill>
    <fill>
      <patternFill patternType="solid">
        <fgColor rgb="FFF6F8F9"/>
        <bgColor rgb="FFF6F8F9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56854"/>
      </left>
      <right/>
      <top style="thin">
        <color rgb="FF356854"/>
      </top>
      <bottom style="thin">
        <color rgb="FF356854"/>
      </bottom>
      <diagonal/>
    </border>
    <border>
      <left/>
      <right/>
      <top style="thin">
        <color rgb="FF356854"/>
      </top>
      <bottom style="thin">
        <color rgb="FF356854"/>
      </bottom>
      <diagonal/>
    </border>
    <border>
      <left/>
      <right style="thin">
        <color rgb="FF356854"/>
      </right>
      <top style="thin">
        <color rgb="FF356854"/>
      </top>
      <bottom style="thin">
        <color rgb="FF356854"/>
      </bottom>
      <diagonal/>
    </border>
    <border>
      <left style="thin">
        <color rgb="FF356854"/>
      </left>
      <right style="thin">
        <color rgb="FF356854"/>
      </right>
      <top style="thin">
        <color rgb="FF356854"/>
      </top>
      <bottom style="thin">
        <color rgb="FF356854"/>
      </bottom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356854"/>
      </bottom>
      <diagonal/>
    </border>
    <border>
      <left/>
      <right/>
      <top/>
      <bottom style="medium">
        <color rgb="FF356854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292F50"/>
      </left>
      <right style="thin">
        <color rgb="FF292F50"/>
      </right>
      <top style="thin">
        <color rgb="FF292F50"/>
      </top>
      <bottom style="thin">
        <color rgb="FF292F5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92F5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4" fillId="3" borderId="1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3" fontId="12" fillId="5" borderId="7" xfId="0" applyNumberFormat="1" applyFont="1" applyFill="1" applyBorder="1" applyAlignment="1">
      <alignment horizontal="center" vertical="center"/>
    </xf>
    <xf numFmtId="3" fontId="12" fillId="7" borderId="7" xfId="0" applyNumberFormat="1" applyFont="1" applyFill="1" applyBorder="1" applyAlignment="1">
      <alignment horizontal="center" vertical="center"/>
    </xf>
    <xf numFmtId="3" fontId="12" fillId="8" borderId="7" xfId="0" applyNumberFormat="1" applyFont="1" applyFill="1" applyBorder="1" applyAlignment="1">
      <alignment horizontal="center" vertical="center"/>
    </xf>
    <xf numFmtId="3" fontId="12" fillId="9" borderId="7" xfId="0" applyNumberFormat="1" applyFont="1" applyFill="1" applyBorder="1" applyAlignment="1">
      <alignment horizontal="center" vertical="center"/>
    </xf>
    <xf numFmtId="3" fontId="12" fillId="10" borderId="7" xfId="0" applyNumberFormat="1" applyFont="1" applyFill="1" applyBorder="1" applyAlignment="1">
      <alignment horizontal="center" vertical="center"/>
    </xf>
    <xf numFmtId="3" fontId="12" fillId="11" borderId="7" xfId="0" applyNumberFormat="1" applyFont="1" applyFill="1" applyBorder="1" applyAlignment="1">
      <alignment horizontal="center" vertical="center"/>
    </xf>
    <xf numFmtId="0" fontId="13" fillId="12" borderId="12" xfId="0" applyFont="1" applyFill="1" applyBorder="1"/>
    <xf numFmtId="0" fontId="13" fillId="12" borderId="13" xfId="0" applyFont="1" applyFill="1" applyBorder="1"/>
    <xf numFmtId="0" fontId="15" fillId="8" borderId="7" xfId="0" applyFont="1" applyFill="1" applyBorder="1" applyAlignment="1">
      <alignment horizontal="center" vertical="center"/>
    </xf>
    <xf numFmtId="3" fontId="12" fillId="13" borderId="7" xfId="0" applyNumberFormat="1" applyFont="1" applyFill="1" applyBorder="1" applyAlignment="1">
      <alignment horizontal="center" vertical="center"/>
    </xf>
    <xf numFmtId="176" fontId="12" fillId="13" borderId="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3" fillId="12" borderId="16" xfId="0" applyFont="1" applyFill="1" applyBorder="1"/>
    <xf numFmtId="0" fontId="16" fillId="14" borderId="17" xfId="0" applyFont="1" applyFill="1" applyBorder="1" applyAlignment="1">
      <alignment horizontal="center" textRotation="90"/>
    </xf>
    <xf numFmtId="0" fontId="16" fillId="14" borderId="18" xfId="0" applyFont="1" applyFill="1" applyBorder="1" applyAlignment="1">
      <alignment horizontal="center" textRotation="90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3" fillId="12" borderId="19" xfId="0" applyFont="1" applyFill="1" applyBorder="1"/>
    <xf numFmtId="177" fontId="19" fillId="15" borderId="7" xfId="0" applyNumberFormat="1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left" vertical="center"/>
    </xf>
    <xf numFmtId="0" fontId="21" fillId="6" borderId="7" xfId="0" applyFont="1" applyFill="1" applyBorder="1" applyAlignment="1">
      <alignment horizontal="center" vertical="center"/>
    </xf>
    <xf numFmtId="178" fontId="21" fillId="6" borderId="7" xfId="0" applyNumberFormat="1" applyFont="1" applyFill="1" applyBorder="1" applyAlignment="1">
      <alignment vertical="center"/>
    </xf>
    <xf numFmtId="0" fontId="20" fillId="6" borderId="7" xfId="0" applyFont="1" applyFill="1" applyBorder="1" applyAlignment="1">
      <alignment vertical="center"/>
    </xf>
    <xf numFmtId="0" fontId="13" fillId="14" borderId="7" xfId="0" applyFont="1" applyFill="1" applyBorder="1"/>
    <xf numFmtId="0" fontId="21" fillId="13" borderId="7" xfId="0" applyFont="1" applyFill="1" applyBorder="1" applyAlignment="1">
      <alignment horizontal="left" vertical="center"/>
    </xf>
    <xf numFmtId="0" fontId="21" fillId="13" borderId="7" xfId="0" applyFont="1" applyFill="1" applyBorder="1" applyAlignment="1">
      <alignment horizontal="center" vertical="center"/>
    </xf>
    <xf numFmtId="178" fontId="21" fillId="13" borderId="7" xfId="0" applyNumberFormat="1" applyFont="1" applyFill="1" applyBorder="1" applyAlignment="1">
      <alignment horizontal="center" vertical="center"/>
    </xf>
    <xf numFmtId="178" fontId="21" fillId="13" borderId="7" xfId="0" applyNumberFormat="1" applyFont="1" applyFill="1" applyBorder="1" applyAlignment="1">
      <alignment vertical="center"/>
    </xf>
    <xf numFmtId="0" fontId="21" fillId="13" borderId="7" xfId="0" applyFont="1" applyFill="1" applyBorder="1" applyAlignment="1">
      <alignment vertical="center"/>
    </xf>
    <xf numFmtId="178" fontId="21" fillId="6" borderId="7" xfId="0" applyNumberFormat="1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vertical="center"/>
    </xf>
    <xf numFmtId="0" fontId="22" fillId="0" borderId="0" xfId="0" applyFont="1" applyAlignment="1">
      <alignment horizontal="left" wrapText="1"/>
    </xf>
    <xf numFmtId="0" fontId="22" fillId="0" borderId="20" xfId="0" applyFont="1" applyBorder="1" applyAlignment="1">
      <alignment horizontal="left" wrapText="1"/>
    </xf>
    <xf numFmtId="0" fontId="22" fillId="0" borderId="20" xfId="0" applyFont="1" applyBorder="1"/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4" fillId="17" borderId="24" xfId="0" applyFont="1" applyFill="1" applyBorder="1" applyAlignment="1">
      <alignment horizontal="right" vertical="center"/>
    </xf>
    <xf numFmtId="179" fontId="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4" fillId="18" borderId="24" xfId="0" applyFont="1" applyFill="1" applyBorder="1" applyAlignment="1">
      <alignment horizontal="right" vertical="center"/>
    </xf>
    <xf numFmtId="0" fontId="24" fillId="19" borderId="24" xfId="0" applyFont="1" applyFill="1" applyBorder="1" applyAlignment="1">
      <alignment horizontal="right" vertical="center"/>
    </xf>
    <xf numFmtId="0" fontId="24" fillId="20" borderId="24" xfId="0" applyFont="1" applyFill="1" applyBorder="1" applyAlignment="1">
      <alignment horizontal="right" vertical="center"/>
    </xf>
    <xf numFmtId="0" fontId="24" fillId="21" borderId="24" xfId="0" applyFont="1" applyFill="1" applyBorder="1" applyAlignment="1">
      <alignment horizontal="right" vertical="center"/>
    </xf>
    <xf numFmtId="0" fontId="24" fillId="22" borderId="24" xfId="0" applyFont="1" applyFill="1" applyBorder="1" applyAlignment="1">
      <alignment horizontal="right" vertical="center"/>
    </xf>
    <xf numFmtId="0" fontId="24" fillId="14" borderId="24" xfId="0" applyFont="1" applyFill="1" applyBorder="1" applyAlignment="1">
      <alignment horizontal="right" vertical="center"/>
    </xf>
    <xf numFmtId="0" fontId="24" fillId="23" borderId="25" xfId="0" applyFont="1" applyFill="1" applyBorder="1" applyAlignment="1">
      <alignment horizontal="right" vertical="center"/>
    </xf>
    <xf numFmtId="0" fontId="24" fillId="17" borderId="0" xfId="0" applyFont="1" applyFill="1" applyAlignment="1">
      <alignment horizontal="right" vertical="center"/>
    </xf>
    <xf numFmtId="0" fontId="25" fillId="0" borderId="0" xfId="0" quotePrefix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26" fillId="24" borderId="26" xfId="0" applyFont="1" applyFill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24" fillId="14" borderId="24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4" fillId="25" borderId="24" xfId="0" applyFont="1" applyFill="1" applyBorder="1" applyAlignment="1">
      <alignment horizontal="center" vertical="center"/>
    </xf>
    <xf numFmtId="0" fontId="24" fillId="14" borderId="28" xfId="0" applyFont="1" applyFill="1" applyBorder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181" fontId="1" fillId="2" borderId="0" xfId="0" applyNumberFormat="1" applyFont="1" applyFill="1"/>
    <xf numFmtId="0" fontId="29" fillId="0" borderId="0" xfId="0" applyFont="1"/>
    <xf numFmtId="0" fontId="28" fillId="3" borderId="3" xfId="0" applyFont="1" applyFill="1" applyBorder="1" applyAlignment="1">
      <alignment horizontal="center"/>
    </xf>
    <xf numFmtId="1" fontId="28" fillId="3" borderId="3" xfId="0" applyNumberFormat="1" applyFont="1" applyFill="1" applyBorder="1" applyAlignment="1">
      <alignment horizontal="center"/>
    </xf>
    <xf numFmtId="3" fontId="29" fillId="14" borderId="0" xfId="0" applyNumberFormat="1" applyFont="1" applyFill="1"/>
    <xf numFmtId="0" fontId="1" fillId="0" borderId="36" xfId="0" applyFont="1" applyBorder="1"/>
    <xf numFmtId="0" fontId="27" fillId="0" borderId="37" xfId="0" applyFont="1" applyBorder="1" applyAlignment="1">
      <alignment horizontal="center"/>
    </xf>
    <xf numFmtId="0" fontId="27" fillId="14" borderId="38" xfId="0" applyFont="1" applyFill="1" applyBorder="1" applyAlignment="1">
      <alignment horizontal="center"/>
    </xf>
    <xf numFmtId="0" fontId="27" fillId="14" borderId="30" xfId="0" applyFont="1" applyFill="1" applyBorder="1" applyAlignment="1">
      <alignment horizontal="center"/>
    </xf>
    <xf numFmtId="0" fontId="27" fillId="14" borderId="37" xfId="0" applyFont="1" applyFill="1" applyBorder="1" applyAlignment="1">
      <alignment horizontal="center"/>
    </xf>
    <xf numFmtId="2" fontId="27" fillId="14" borderId="39" xfId="0" applyNumberFormat="1" applyFont="1" applyFill="1" applyBorder="1" applyAlignment="1">
      <alignment horizontal="center"/>
    </xf>
    <xf numFmtId="0" fontId="29" fillId="14" borderId="36" xfId="0" applyFont="1" applyFill="1" applyBorder="1"/>
    <xf numFmtId="0" fontId="29" fillId="0" borderId="38" xfId="0" applyFont="1" applyBorder="1"/>
    <xf numFmtId="182" fontId="27" fillId="14" borderId="38" xfId="0" applyNumberFormat="1" applyFont="1" applyFill="1" applyBorder="1" applyAlignment="1">
      <alignment horizontal="center"/>
    </xf>
    <xf numFmtId="0" fontId="27" fillId="14" borderId="0" xfId="0" applyFont="1" applyFill="1" applyAlignment="1">
      <alignment horizontal="center"/>
    </xf>
    <xf numFmtId="0" fontId="29" fillId="14" borderId="0" xfId="0" applyFont="1" applyFill="1"/>
    <xf numFmtId="0" fontId="29" fillId="14" borderId="32" xfId="0" applyFont="1" applyFill="1" applyBorder="1"/>
    <xf numFmtId="0" fontId="29" fillId="0" borderId="40" xfId="0" applyFont="1" applyBorder="1"/>
    <xf numFmtId="0" fontId="27" fillId="14" borderId="40" xfId="0" applyFont="1" applyFill="1" applyBorder="1" applyAlignment="1">
      <alignment horizontal="center"/>
    </xf>
    <xf numFmtId="2" fontId="27" fillId="14" borderId="34" xfId="0" applyNumberFormat="1" applyFont="1" applyFill="1" applyBorder="1" applyAlignment="1">
      <alignment horizontal="center"/>
    </xf>
    <xf numFmtId="2" fontId="30" fillId="2" borderId="0" xfId="0" applyNumberFormat="1" applyFont="1" applyFill="1" applyAlignment="1">
      <alignment horizontal="right"/>
    </xf>
    <xf numFmtId="182" fontId="27" fillId="14" borderId="37" xfId="0" applyNumberFormat="1" applyFont="1" applyFill="1" applyBorder="1" applyAlignment="1">
      <alignment horizontal="center"/>
    </xf>
    <xf numFmtId="0" fontId="27" fillId="14" borderId="33" xfId="0" applyFont="1" applyFill="1" applyBorder="1" applyAlignment="1">
      <alignment horizontal="center"/>
    </xf>
    <xf numFmtId="0" fontId="29" fillId="0" borderId="36" xfId="0" applyFont="1" applyBorder="1"/>
    <xf numFmtId="0" fontId="29" fillId="14" borderId="38" xfId="0" applyFont="1" applyFill="1" applyBorder="1"/>
    <xf numFmtId="0" fontId="29" fillId="0" borderId="32" xfId="0" applyFont="1" applyBorder="1"/>
    <xf numFmtId="0" fontId="31" fillId="14" borderId="37" xfId="0" applyFont="1" applyFill="1" applyBorder="1" applyAlignment="1">
      <alignment horizontal="center"/>
    </xf>
    <xf numFmtId="0" fontId="29" fillId="14" borderId="40" xfId="0" applyFont="1" applyFill="1" applyBorder="1"/>
    <xf numFmtId="183" fontId="29" fillId="0" borderId="0" xfId="0" applyNumberFormat="1" applyFont="1"/>
    <xf numFmtId="0" fontId="27" fillId="0" borderId="40" xfId="0" applyFont="1" applyBorder="1" applyAlignment="1">
      <alignment horizontal="center"/>
    </xf>
    <xf numFmtId="0" fontId="2" fillId="11" borderId="0" xfId="0" applyFont="1" applyFill="1"/>
    <xf numFmtId="0" fontId="2" fillId="2" borderId="1" xfId="0" applyFont="1" applyFill="1" applyBorder="1" applyAlignment="1">
      <alignment vertical="center"/>
    </xf>
    <xf numFmtId="0" fontId="3" fillId="0" borderId="2" xfId="0" applyFont="1" applyBorder="1"/>
    <xf numFmtId="0" fontId="8" fillId="4" borderId="4" xfId="0" applyFont="1" applyFill="1" applyBorder="1" applyAlignment="1">
      <alignment horizontal="center" vertical="center"/>
    </xf>
    <xf numFmtId="0" fontId="3" fillId="0" borderId="6" xfId="0" applyFont="1" applyBorder="1"/>
    <xf numFmtId="3" fontId="10" fillId="5" borderId="8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76" fontId="10" fillId="5" borderId="8" xfId="0" applyNumberFormat="1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vertical="center" wrapText="1"/>
    </xf>
    <xf numFmtId="0" fontId="3" fillId="0" borderId="14" xfId="0" applyFont="1" applyBorder="1"/>
    <xf numFmtId="0" fontId="3" fillId="0" borderId="15" xfId="0" applyFont="1" applyBorder="1"/>
    <xf numFmtId="0" fontId="6" fillId="0" borderId="0" xfId="0" applyFont="1" applyAlignment="1">
      <alignment vertical="center"/>
    </xf>
    <xf numFmtId="0" fontId="0" fillId="0" borderId="0" xfId="0"/>
    <xf numFmtId="0" fontId="7" fillId="0" borderId="0" xfId="0" applyFont="1" applyAlignment="1">
      <alignment vertical="center"/>
    </xf>
    <xf numFmtId="0" fontId="3" fillId="0" borderId="5" xfId="0" applyFont="1" applyBorder="1"/>
    <xf numFmtId="0" fontId="23" fillId="11" borderId="0" xfId="0" applyFont="1" applyFill="1" applyAlignment="1">
      <alignment horizontal="right"/>
    </xf>
    <xf numFmtId="0" fontId="23" fillId="16" borderId="0" xfId="0" applyFont="1" applyFill="1" applyAlignment="1">
      <alignment horizontal="right"/>
    </xf>
    <xf numFmtId="0" fontId="23" fillId="2" borderId="21" xfId="0" applyFont="1" applyFill="1" applyBorder="1" applyAlignment="1">
      <alignment horizontal="right"/>
    </xf>
    <xf numFmtId="0" fontId="3" fillId="0" borderId="22" xfId="0" applyFont="1" applyBorder="1"/>
    <xf numFmtId="0" fontId="3" fillId="0" borderId="23" xfId="0" applyFont="1" applyBorder="1"/>
    <xf numFmtId="0" fontId="5" fillId="2" borderId="0" xfId="0" applyFont="1" applyFill="1" applyAlignment="1">
      <alignment horizontal="center"/>
    </xf>
    <xf numFmtId="0" fontId="27" fillId="26" borderId="29" xfId="0" applyFont="1" applyFill="1" applyBorder="1" applyAlignment="1">
      <alignment horizontal="left" vertical="center"/>
    </xf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27" fillId="27" borderId="29" xfId="0" applyFont="1" applyFill="1" applyBorder="1" applyAlignment="1">
      <alignment horizontal="left" vertical="center"/>
    </xf>
    <xf numFmtId="0" fontId="28" fillId="26" borderId="1" xfId="0" applyFont="1" applyFill="1" applyBorder="1" applyAlignment="1">
      <alignment horizontal="center"/>
    </xf>
    <xf numFmtId="0" fontId="3" fillId="0" borderId="35" xfId="0" applyFont="1" applyBorder="1"/>
    <xf numFmtId="0" fontId="28" fillId="27" borderId="1" xfId="0" applyFont="1" applyFill="1" applyBorder="1" applyAlignment="1">
      <alignment horizont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 wrapText="1"/>
    </xf>
  </cellXfs>
  <cellStyles count="1">
    <cellStyle name="표준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F8"/>
          <bgColor rgb="FF9FC5F8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DE9E7"/>
          <bgColor rgb="FFFDE9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84FB6"/>
          <bgColor rgb="FF884FB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24E74"/>
          <bgColor rgb="FFA24E7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1. 프로젝트 대시보드-style" pivot="0" count="4" xr9:uid="{00000000-0011-0000-FFFF-FFFF00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2. 도서 정보-style" pivot="0" count="4" xr9:uid="{00000000-0011-0000-FFFF-FFFF01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2. 도서 정보의 사본-style" pivot="0" count="4" xr9:uid="{00000000-0011-0000-FFFF-FFFF02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3. 도서별 작업 현황-style" pivot="0" count="4" xr9:uid="{00000000-0011-0000-FFFF-FFFF03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4. 작업자 관리-style" pivot="0" count="4" xr9:uid="{00000000-0011-0000-FFFF-FFFF04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4. 작업자 관리-style 2" pivot="0" count="4" xr9:uid="{00000000-0011-0000-FFFF-FFFF05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5. 납품 전 체크리스트-style" pivot="0" count="4" xr9:uid="{00000000-0011-0000-FFFF-FFFF06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WER 로그-style" pivot="0" count="4" xr9:uid="{00000000-0011-0000-FFFF-FFFF07000000}">
      <tableStyleElement type="wholeTable" size="0" dxfId="13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프로젝트_일정" displayName="프로젝트_일정" ref="A12:G37">
  <tableColumns count="7">
    <tableColumn id="1" xr3:uid="{00000000-0010-0000-0000-000001000000}" name="TASK"/>
    <tableColumn id="2" xr3:uid="{00000000-0010-0000-0000-000002000000}" name="담당자"/>
    <tableColumn id="3" xr3:uid="{00000000-0010-0000-0000-000003000000}" name="시작일"/>
    <tableColumn id="4" xr3:uid="{00000000-0010-0000-0000-000004000000}" name="종료일"/>
    <tableColumn id="5" xr3:uid="{00000000-0010-0000-0000-000005000000}" name="단계"/>
    <tableColumn id="6" xr3:uid="{00000000-0010-0000-0000-000006000000}" name="산출물"/>
    <tableColumn id="7" xr3:uid="{00000000-0010-0000-0000-000007000000}" name="세부내용"/>
  </tableColumns>
  <tableStyleInfo name="1. 프로젝트 대시보드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도서_정보" displayName="도서_정보" ref="A2:AI112">
  <tableColumns count="35">
    <tableColumn id="1" xr3:uid="{00000000-0010-0000-0100-000001000000}" name="ID"/>
    <tableColumn id="2" xr3:uid="{00000000-0010-0000-0100-000002000000}" name="도서명"/>
    <tableColumn id="3" xr3:uid="{00000000-0010-0000-0100-000003000000}" name="ISBN"/>
    <tableColumn id="4" xr3:uid="{00000000-0010-0000-0100-000004000000}" name="저자"/>
    <tableColumn id="5" xr3:uid="{00000000-0010-0000-0100-000005000000}" name="출판사"/>
    <tableColumn id="6" xr3:uid="{00000000-0010-0000-0100-000006000000}" name="출판일"/>
    <tableColumn id="7" xr3:uid="{00000000-0010-0000-0100-000007000000}" name="포맷"/>
    <tableColumn id="35" xr3:uid="{E1BFDF88-8138-4319-9ECA-3A498EA4BD49}" name="분류1" dataDxfId="0"/>
    <tableColumn id="34" xr3:uid="{4E1BDA39-0D32-423A-B578-DC26DC078827}" name="분류2" dataDxfId="12"/>
    <tableColumn id="8" xr3:uid="{00000000-0010-0000-0100-000008000000}" name="분류3"/>
    <tableColumn id="9" xr3:uid="{00000000-0010-0000-0100-000009000000}" name="전체 페이지"/>
    <tableColumn id="10" xr3:uid="{00000000-0010-0000-0100-00000A000000}" name="시작 페이지"/>
    <tableColumn id="11" xr3:uid="{00000000-0010-0000-0100-00000B000000}" name="끝 페이지"/>
    <tableColumn id="12" xr3:uid="{00000000-0010-0000-0100-00000C000000}" name="작업 페이지"/>
    <tableColumn id="13" xr3:uid="{00000000-0010-0000-0100-00000D000000}" name="추출 방식"/>
    <tableColumn id="14" xr3:uid="{00000000-0010-0000-0100-00000E000000}" name="텍스트"/>
    <tableColumn id="15" xr3:uid="{00000000-0010-0000-0100-00000F000000}" name="타이틀"/>
    <tableColumn id="16" xr3:uid="{00000000-0010-0000-0100-000010000000}" name="캡션"/>
    <tableColumn id="17" xr3:uid="{00000000-0010-0000-0100-000011000000}" name="이미지"/>
    <tableColumn id="18" xr3:uid="{00000000-0010-0000-0100-000012000000}" name="수식"/>
    <tableColumn id="19" xr3:uid="{00000000-0010-0000-0100-000013000000}" name="표"/>
    <tableColumn id="20" xr3:uid="{00000000-0010-0000-0100-000014000000}" name="차트"/>
    <tableColumn id="21" xr3:uid="{00000000-0010-0000-0100-000015000000}" name="각주"/>
    <tableColumn id="22" xr3:uid="{00000000-0010-0000-0100-000016000000}" name="아이템"/>
    <tableColumn id="23" xr3:uid="{00000000-0010-0000-0100-000017000000}" name="빈 텍스트 박스"/>
    <tableColumn id="24" xr3:uid="{00000000-0010-0000-0100-000018000000}" name="띄어쓰기"/>
    <tableColumn id="25" xr3:uid="{00000000-0010-0000-0100-000019000000}" name="영어"/>
    <tableColumn id="26" xr3:uid="{00000000-0010-0000-0100-00001A000000}" name="기타 외국어"/>
    <tableColumn id="27" xr3:uid="{00000000-0010-0000-0100-00001B000000}" name="특수문자"/>
    <tableColumn id="28" xr3:uid="{00000000-0010-0000-0100-00001C000000}" name="어절"/>
    <tableColumn id="29" xr3:uid="{00000000-0010-0000-0100-00001D000000}" name="박스(&lt;2)"/>
    <tableColumn id="30" xr3:uid="{00000000-0010-0000-0100-00001E000000}" name="다단 의심"/>
    <tableColumn id="31" xr3:uid="{00000000-0010-0000-0100-00001F000000}" name="다단 여부"/>
    <tableColumn id="32" xr3:uid="{00000000-0010-0000-0100-000020000000}" name="난이도"/>
    <tableColumn id="33" xr3:uid="{00000000-0010-0000-0100-000021000000}" name="특이사항"/>
  </tableColumns>
  <tableStyleInfo name="2. 도서 정보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도서_정보_2" displayName="도서_정보_2" ref="A2:AG109">
  <tableColumns count="33">
    <tableColumn id="1" xr3:uid="{00000000-0010-0000-0200-000001000000}" name="ID"/>
    <tableColumn id="2" xr3:uid="{00000000-0010-0000-0200-000002000000}" name="도서명"/>
    <tableColumn id="3" xr3:uid="{00000000-0010-0000-0200-000003000000}" name="ISBN"/>
    <tableColumn id="4" xr3:uid="{00000000-0010-0000-0200-000004000000}" name="저자"/>
    <tableColumn id="5" xr3:uid="{00000000-0010-0000-0200-000005000000}" name="출판사"/>
    <tableColumn id="6" xr3:uid="{00000000-0010-0000-0200-000006000000}" name="출판일"/>
    <tableColumn id="7" xr3:uid="{00000000-0010-0000-0200-000007000000}" name="포맷"/>
    <tableColumn id="8" xr3:uid="{00000000-0010-0000-0200-000008000000}" name="분류"/>
    <tableColumn id="9" xr3:uid="{00000000-0010-0000-0200-000009000000}" name="전체 페이지"/>
    <tableColumn id="10" xr3:uid="{00000000-0010-0000-0200-00000A000000}" name="시작 페이지"/>
    <tableColumn id="11" xr3:uid="{00000000-0010-0000-0200-00000B000000}" name="끝 페이지"/>
    <tableColumn id="12" xr3:uid="{00000000-0010-0000-0200-00000C000000}" name="작업 페이지"/>
    <tableColumn id="13" xr3:uid="{00000000-0010-0000-0200-00000D000000}" name="추출 방식"/>
    <tableColumn id="14" xr3:uid="{00000000-0010-0000-0200-00000E000000}" name="텍스트"/>
    <tableColumn id="15" xr3:uid="{00000000-0010-0000-0200-00000F000000}" name="타이틀"/>
    <tableColumn id="16" xr3:uid="{00000000-0010-0000-0200-000010000000}" name="캡션"/>
    <tableColumn id="17" xr3:uid="{00000000-0010-0000-0200-000011000000}" name="이미지"/>
    <tableColumn id="18" xr3:uid="{00000000-0010-0000-0200-000012000000}" name="수식"/>
    <tableColumn id="19" xr3:uid="{00000000-0010-0000-0200-000013000000}" name="표"/>
    <tableColumn id="20" xr3:uid="{00000000-0010-0000-0200-000014000000}" name="차트"/>
    <tableColumn id="21" xr3:uid="{00000000-0010-0000-0200-000015000000}" name="각주"/>
    <tableColumn id="22" xr3:uid="{00000000-0010-0000-0200-000016000000}" name="아이템"/>
    <tableColumn id="23" xr3:uid="{00000000-0010-0000-0200-000017000000}" name="빈 텍스트 박스"/>
    <tableColumn id="24" xr3:uid="{00000000-0010-0000-0200-000018000000}" name="띄어쓰기"/>
    <tableColumn id="25" xr3:uid="{00000000-0010-0000-0200-000019000000}" name="영어"/>
    <tableColumn id="26" xr3:uid="{00000000-0010-0000-0200-00001A000000}" name="기타 외국어"/>
    <tableColumn id="27" xr3:uid="{00000000-0010-0000-0200-00001B000000}" name="특수문자"/>
    <tableColumn id="28" xr3:uid="{00000000-0010-0000-0200-00001C000000}" name="어절"/>
    <tableColumn id="29" xr3:uid="{00000000-0010-0000-0200-00001D000000}" name="박스(&lt;2)"/>
    <tableColumn id="30" xr3:uid="{00000000-0010-0000-0200-00001E000000}" name="다단 의심"/>
    <tableColumn id="31" xr3:uid="{00000000-0010-0000-0200-00001F000000}" name="다단 여부"/>
    <tableColumn id="32" xr3:uid="{00000000-0010-0000-0200-000020000000}" name="난이도"/>
    <tableColumn id="33" xr3:uid="{00000000-0010-0000-0200-000021000000}" name="특이사항"/>
  </tableColumns>
  <tableStyleInfo name="2. 도서 정보의 사본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도서별_작업_현황" displayName="도서별_작업_현황" ref="A1:AA108">
  <tableColumns count="27">
    <tableColumn id="1" xr3:uid="{00000000-0010-0000-0300-000001000000}" name="ID"/>
    <tableColumn id="2" xr3:uid="{00000000-0010-0000-0300-000002000000}" name="도서명"/>
    <tableColumn id="3" xr3:uid="{00000000-0010-0000-0300-000003000000}" name="작업 페이지"/>
    <tableColumn id="4" xr3:uid="{00000000-0010-0000-0300-000004000000}" name="난이도"/>
    <tableColumn id="5" xr3:uid="{00000000-0010-0000-0300-000005000000}" name="추출 방식"/>
    <tableColumn id="6" xr3:uid="{00000000-0010-0000-0300-000006000000}" name="BBOX 분배"/>
    <tableColumn id="7" xr3:uid="{00000000-0010-0000-0300-000007000000}" name="BBOX 완료"/>
    <tableColumn id="8" xr3:uid="{00000000-0010-0000-0300-000008000000}" name="BBOX 작업자"/>
    <tableColumn id="9" xr3:uid="{00000000-0010-0000-0300-000009000000}" name="BBOX 작업 상태"/>
    <tableColumn id="10" xr3:uid="{00000000-0010-0000-0300-00000A000000}" name="BBOX 검수자"/>
    <tableColumn id="11" xr3:uid="{00000000-0010-0000-0300-00000B000000}" name="OCR 분배"/>
    <tableColumn id="12" xr3:uid="{00000000-0010-0000-0300-00000C000000}" name="OCR 완료"/>
    <tableColumn id="13" xr3:uid="{00000000-0010-0000-0300-00000D000000}" name="OCR 작업자"/>
    <tableColumn id="14" xr3:uid="{00000000-0010-0000-0300-00000E000000}" name="OCR 작업 상태"/>
    <tableColumn id="15" xr3:uid="{00000000-0010-0000-0300-00000F000000}" name="OCR 검수자"/>
    <tableColumn id="16" xr3:uid="{00000000-0010-0000-0300-000010000000}" name="수식표 분배"/>
    <tableColumn id="17" xr3:uid="{00000000-0010-0000-0300-000011000000}" name="수식표 완료"/>
    <tableColumn id="18" xr3:uid="{00000000-0010-0000-0300-000012000000}" name="수식표 작업 상태"/>
    <tableColumn id="19" xr3:uid="{00000000-0010-0000-0300-000013000000}" name="최종 폴더"/>
    <tableColumn id="20" xr3:uid="{00000000-0010-0000-0300-000014000000}" name="정렬 검사"/>
    <tableColumn id="21" xr3:uid="{00000000-0010-0000-0300-000015000000}" name="최종 검수자"/>
    <tableColumn id="22" xr3:uid="{00000000-0010-0000-0300-000016000000}" name="WER 검수 상태"/>
    <tableColumn id="23" xr3:uid="{00000000-0010-0000-0300-000017000000}" name="WER 검수자"/>
    <tableColumn id="24" xr3:uid="{00000000-0010-0000-0300-000018000000}" name="WER 검수 결과"/>
    <tableColumn id="25" xr3:uid="{00000000-0010-0000-0300-000019000000}" name="납품 전 체크리스트"/>
    <tableColumn id="26" xr3:uid="{00000000-0010-0000-0300-00001A000000}" name="납품 차수"/>
    <tableColumn id="27" xr3:uid="{00000000-0010-0000-0300-00001B000000}" name="비고"/>
  </tableColumns>
  <tableStyleInfo name="3. 도서별 작업 현황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BOX_OCR_작업자" displayName="BBOX_OCR_작업자" ref="A1:M15">
  <tableColumns count="13">
    <tableColumn id="1" xr3:uid="{00000000-0010-0000-0400-000001000000}" name="이름(아이디)"/>
    <tableColumn id="2" xr3:uid="{00000000-0010-0000-0400-000002000000}" name="이름"/>
    <tableColumn id="3" xr3:uid="{00000000-0010-0000-0400-000003000000}" name="아이디"/>
    <tableColumn id="4" xr3:uid="{00000000-0010-0000-0400-000004000000}" name="이메일"/>
    <tableColumn id="5" xr3:uid="{00000000-0010-0000-0400-000005000000}" name="작업 중 폴더"/>
    <tableColumn id="6" xr3:uid="{00000000-0010-0000-0400-000006000000}" name="작업 단계"/>
    <tableColumn id="7" xr3:uid="{00000000-0010-0000-0400-000007000000}" name="현재 작업량"/>
    <tableColumn id="8" xr3:uid="{00000000-0010-0000-0400-000008000000}" name="전체 페이지"/>
    <tableColumn id="9" xr3:uid="{00000000-0010-0000-0400-000009000000}" name="BBOX 작업량"/>
    <tableColumn id="10" xr3:uid="{00000000-0010-0000-0400-00000A000000}" name="OCR 작업량"/>
    <tableColumn id="11" xr3:uid="{00000000-0010-0000-0400-00000B000000}" name="테스트 평가"/>
    <tableColumn id="12" xr3:uid="{00000000-0010-0000-0400-00000C000000}" name="최종 평가"/>
    <tableColumn id="13" xr3:uid="{00000000-0010-0000-0400-00000D000000}" name="비고"/>
  </tableColumns>
  <tableStyleInfo name="4. 작업자 관리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수식표_작업자" displayName="수식표_작업자" ref="O1:U15">
  <tableColumns count="7">
    <tableColumn id="1" xr3:uid="{00000000-0010-0000-0500-000001000000}" name="이름"/>
    <tableColumn id="2" xr3:uid="{00000000-0010-0000-0500-000002000000}" name="이메일"/>
    <tableColumn id="3" xr3:uid="{00000000-0010-0000-0500-000003000000}" name="아이디"/>
    <tableColumn id="4" xr3:uid="{00000000-0010-0000-0500-000004000000}" name="수식표 작업량"/>
    <tableColumn id="5" xr3:uid="{00000000-0010-0000-0500-000005000000}" name="테스트 평가"/>
    <tableColumn id="6" xr3:uid="{00000000-0010-0000-0500-000006000000}" name="평가"/>
    <tableColumn id="7" xr3:uid="{00000000-0010-0000-0500-000007000000}" name="비고"/>
  </tableColumns>
  <tableStyleInfo name="4. 작업자 관리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납품_전_체크리스트" displayName="납품_전_체크리스트" ref="A1:O609">
  <tableColumns count="15">
    <tableColumn id="1" xr3:uid="{00000000-0010-0000-0600-000001000000}" name="ID"/>
    <tableColumn id="2" xr3:uid="{00000000-0010-0000-0600-000002000000}" name="도서명"/>
    <tableColumn id="3" xr3:uid="{00000000-0010-0000-0600-000003000000}" name="작업 페이지"/>
    <tableColumn id="4" xr3:uid="{00000000-0010-0000-0600-000004000000}" name="박스 포함 관계 검사"/>
    <tableColumn id="5" xr3:uid="{00000000-0010-0000-0600-000005000000}" name="빈 라벨 검사"/>
    <tableColumn id="6" xr3:uid="{00000000-0010-0000-0600-000006000000}" name="(파싱 전)_x000a_태그 페어 검사"/>
    <tableColumn id="7" xr3:uid="{00000000-0010-0000-0600-000007000000}" name="노이즈 문자 검사"/>
    <tableColumn id="8" xr3:uid="{00000000-0010-0000-0600-000008000000}" name="수식표 환경 매칭 검사"/>
    <tableColumn id="9" xr3:uid="{00000000-0010-0000-0600-000009000000}" name="파싱"/>
    <tableColumn id="10" xr3:uid="{00000000-0010-0000-0600-00000A000000}" name="데이터 스키마 유효성 검사"/>
    <tableColumn id="11" xr3:uid="{00000000-0010-0000-0600-00000B000000}" name="(파싱 후)_x000a_태그 페어 검사"/>
    <tableColumn id="12" xr3:uid="{00000000-0010-0000-0600-00000C000000}" name="크롭 이미지 육안 검사"/>
    <tableColumn id="13" xr3:uid="{00000000-0010-0000-0600-00000D000000}" name="(문제집 유형)_x000a_문제 유효성 검사"/>
    <tableColumn id="14" xr3:uid="{00000000-0010-0000-0600-00000E000000}" name="납품 차수"/>
    <tableColumn id="15" xr3:uid="{00000000-0010-0000-0600-00000F000000}" name="특이사항"/>
  </tableColumns>
  <tableStyleInfo name="5. 납품 전 체크리스트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ER_로그" displayName="WER_로그" ref="A1:J15">
  <tableColumns count="10">
    <tableColumn id="1" xr3:uid="{00000000-0010-0000-0700-000001000000}" name="ID"/>
    <tableColumn id="2" xr3:uid="{00000000-0010-0000-0700-000002000000}" name="도서명"/>
    <tableColumn id="3" xr3:uid="{00000000-0010-0000-0700-000003000000}" name="WER 검수자"/>
    <tableColumn id="4" xr3:uid="{00000000-0010-0000-0700-000004000000}" name="작업 페이지"/>
    <tableColumn id="5" xr3:uid="{00000000-0010-0000-0700-000005000000}" name="검수 페이지"/>
    <tableColumn id="6" xr3:uid="{00000000-0010-0000-0700-000006000000}" name="검수 페이지 비율"/>
    <tableColumn id="7" xr3:uid="{00000000-0010-0000-0700-000007000000}" name="검사 어절 수"/>
    <tableColumn id="8" xr3:uid="{00000000-0010-0000-0700-000008000000}" name="오류 어절 수"/>
    <tableColumn id="9" xr3:uid="{00000000-0010-0000-0700-000009000000}" name="1-WER"/>
    <tableColumn id="10" xr3:uid="{00000000-0010-0000-0700-00000A000000}" name="수정 후 1-WER"/>
  </tableColumns>
  <tableStyleInfo name="WER 로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workbookViewId="0"/>
  </sheetViews>
  <sheetFormatPr defaultColWidth="11.25" defaultRowHeight="15.75" customHeight="1"/>
  <cols>
    <col min="1" max="1" width="6.125" customWidth="1"/>
    <col min="2" max="2" width="16.5" customWidth="1"/>
    <col min="3" max="3" width="21" customWidth="1"/>
    <col min="4" max="4" width="38.5" customWidth="1"/>
    <col min="5" max="5" width="53.75" customWidth="1"/>
  </cols>
  <sheetData>
    <row r="1" spans="1:5">
      <c r="B1" s="1"/>
      <c r="C1" s="1"/>
      <c r="D1" s="2"/>
      <c r="E1" s="2"/>
    </row>
    <row r="2" spans="1:5">
      <c r="B2" s="1"/>
      <c r="C2" s="1"/>
      <c r="D2" s="2"/>
      <c r="E2" s="2"/>
    </row>
    <row r="3" spans="1:5">
      <c r="A3" s="3"/>
      <c r="B3" s="111" t="s">
        <v>0</v>
      </c>
      <c r="C3" s="112"/>
      <c r="D3" s="4" t="s">
        <v>1</v>
      </c>
      <c r="E3" s="5" t="s">
        <v>2</v>
      </c>
    </row>
    <row r="4" spans="1:5">
      <c r="B4" s="6" t="s">
        <v>3</v>
      </c>
      <c r="C4" s="6" t="s">
        <v>4</v>
      </c>
      <c r="D4" s="7" t="s">
        <v>5</v>
      </c>
      <c r="E4" s="7" t="s">
        <v>6</v>
      </c>
    </row>
    <row r="5" spans="1:5">
      <c r="B5" s="8" t="s">
        <v>7</v>
      </c>
      <c r="C5" s="9" t="s">
        <v>8</v>
      </c>
      <c r="D5" s="10" t="s">
        <v>9</v>
      </c>
      <c r="E5" s="10" t="s">
        <v>10</v>
      </c>
    </row>
    <row r="6" spans="1:5">
      <c r="B6" s="8" t="s">
        <v>11</v>
      </c>
      <c r="C6" s="9" t="s">
        <v>12</v>
      </c>
      <c r="D6" s="10" t="s">
        <v>13</v>
      </c>
      <c r="E6" s="10" t="s">
        <v>14</v>
      </c>
    </row>
    <row r="7" spans="1:5">
      <c r="B7" s="8" t="s">
        <v>15</v>
      </c>
      <c r="C7" s="9" t="s">
        <v>16</v>
      </c>
      <c r="D7" s="10" t="s">
        <v>17</v>
      </c>
      <c r="E7" s="10" t="s">
        <v>18</v>
      </c>
    </row>
    <row r="8" spans="1:5">
      <c r="B8" s="8" t="s">
        <v>19</v>
      </c>
      <c r="C8" s="9" t="s">
        <v>20</v>
      </c>
      <c r="D8" s="10" t="s">
        <v>21</v>
      </c>
      <c r="E8" s="10" t="s">
        <v>22</v>
      </c>
    </row>
    <row r="9" spans="1:5">
      <c r="B9" s="8" t="s">
        <v>23</v>
      </c>
      <c r="C9" s="9" t="s">
        <v>24</v>
      </c>
      <c r="D9" s="10" t="s">
        <v>25</v>
      </c>
      <c r="E9" s="10" t="s">
        <v>26</v>
      </c>
    </row>
    <row r="10" spans="1:5">
      <c r="B10" s="8" t="s">
        <v>27</v>
      </c>
      <c r="C10" s="9" t="s">
        <v>28</v>
      </c>
      <c r="D10" s="10" t="s">
        <v>29</v>
      </c>
      <c r="E10" s="10" t="s">
        <v>30</v>
      </c>
    </row>
    <row r="11" spans="1:5">
      <c r="B11" s="8" t="s">
        <v>31</v>
      </c>
      <c r="C11" s="9"/>
      <c r="D11" s="10"/>
      <c r="E11" s="10"/>
    </row>
    <row r="12" spans="1:5">
      <c r="B12" s="8" t="s">
        <v>32</v>
      </c>
      <c r="C12" s="9"/>
      <c r="D12" s="10"/>
      <c r="E12" s="10"/>
    </row>
    <row r="13" spans="1:5">
      <c r="B13" s="1"/>
      <c r="C13" s="1"/>
      <c r="D13" s="2"/>
      <c r="E13" s="2"/>
    </row>
    <row r="14" spans="1:5">
      <c r="B14" s="1"/>
      <c r="C14" s="1"/>
      <c r="D14" s="2"/>
      <c r="E14" s="2"/>
    </row>
    <row r="15" spans="1:5">
      <c r="B15" s="1"/>
      <c r="C15" s="1"/>
      <c r="D15" s="2"/>
      <c r="E15" s="2"/>
    </row>
    <row r="16" spans="1:5">
      <c r="B16" s="111" t="s">
        <v>33</v>
      </c>
      <c r="C16" s="112"/>
      <c r="D16" s="4" t="s">
        <v>34</v>
      </c>
      <c r="E16" s="5" t="s">
        <v>35</v>
      </c>
    </row>
    <row r="17" spans="2:5">
      <c r="B17" s="6" t="s">
        <v>3</v>
      </c>
      <c r="C17" s="6" t="s">
        <v>4</v>
      </c>
      <c r="D17" s="7" t="s">
        <v>5</v>
      </c>
      <c r="E17" s="7" t="s">
        <v>6</v>
      </c>
    </row>
    <row r="18" spans="2:5">
      <c r="B18" s="8" t="s">
        <v>36</v>
      </c>
      <c r="C18" s="8" t="s">
        <v>37</v>
      </c>
      <c r="D18" s="10" t="s">
        <v>38</v>
      </c>
      <c r="E18" s="10" t="s">
        <v>39</v>
      </c>
    </row>
    <row r="19" spans="2:5">
      <c r="B19" s="8" t="s">
        <v>40</v>
      </c>
      <c r="C19" s="8" t="s">
        <v>41</v>
      </c>
      <c r="D19" s="10" t="s">
        <v>42</v>
      </c>
      <c r="E19" s="10" t="s">
        <v>43</v>
      </c>
    </row>
    <row r="20" spans="2:5">
      <c r="B20" s="8" t="s">
        <v>44</v>
      </c>
      <c r="C20" s="8" t="s">
        <v>45</v>
      </c>
      <c r="D20" s="10" t="s">
        <v>46</v>
      </c>
      <c r="E20" s="10" t="s">
        <v>47</v>
      </c>
    </row>
    <row r="21" spans="2:5">
      <c r="B21" s="8" t="s">
        <v>48</v>
      </c>
      <c r="C21" s="8" t="s">
        <v>49</v>
      </c>
      <c r="D21" s="10" t="s">
        <v>50</v>
      </c>
      <c r="E21" s="10" t="s">
        <v>51</v>
      </c>
    </row>
    <row r="22" spans="2:5">
      <c r="B22" s="8" t="s">
        <v>52</v>
      </c>
      <c r="C22" s="8" t="s">
        <v>53</v>
      </c>
      <c r="D22" s="10" t="s">
        <v>54</v>
      </c>
      <c r="E22" s="10" t="s">
        <v>55</v>
      </c>
    </row>
    <row r="23" spans="2:5">
      <c r="C23" s="1"/>
      <c r="D23" s="2"/>
      <c r="E23" s="2"/>
    </row>
    <row r="24" spans="2:5">
      <c r="B24" s="1"/>
      <c r="C24" s="1"/>
      <c r="D24" s="2"/>
      <c r="E24" s="2"/>
    </row>
    <row r="25" spans="2:5">
      <c r="B25" s="1"/>
      <c r="C25" s="1"/>
      <c r="D25" s="2"/>
      <c r="E25" s="2"/>
    </row>
    <row r="26" spans="2:5">
      <c r="B26" s="1"/>
      <c r="C26" s="1"/>
      <c r="D26" s="2"/>
      <c r="E26" s="2"/>
    </row>
    <row r="27" spans="2:5">
      <c r="B27" s="1"/>
      <c r="C27" s="1"/>
      <c r="D27" s="2"/>
      <c r="E27" s="2"/>
    </row>
    <row r="28" spans="2:5">
      <c r="B28" s="1"/>
      <c r="C28" s="1"/>
      <c r="D28" s="2"/>
      <c r="E28" s="2"/>
    </row>
    <row r="29" spans="2:5">
      <c r="B29" s="1"/>
      <c r="C29" s="1"/>
      <c r="D29" s="2"/>
      <c r="E29" s="2"/>
    </row>
    <row r="30" spans="2:5">
      <c r="B30" s="1"/>
      <c r="C30" s="1"/>
      <c r="D30" s="2"/>
      <c r="E30" s="2"/>
    </row>
    <row r="31" spans="2:5">
      <c r="B31" s="1"/>
      <c r="C31" s="1"/>
      <c r="D31" s="2"/>
      <c r="E31" s="2"/>
    </row>
    <row r="32" spans="2:5">
      <c r="B32" s="1"/>
      <c r="C32" s="1"/>
      <c r="D32" s="2"/>
      <c r="E32" s="2"/>
    </row>
    <row r="33" spans="2:5">
      <c r="B33" s="1"/>
      <c r="C33" s="1"/>
      <c r="D33" s="2"/>
      <c r="E33" s="2"/>
    </row>
    <row r="34" spans="2:5">
      <c r="B34" s="1"/>
      <c r="C34" s="1"/>
      <c r="D34" s="2"/>
      <c r="E34" s="2"/>
    </row>
    <row r="35" spans="2:5">
      <c r="B35" s="1"/>
      <c r="C35" s="1"/>
      <c r="D35" s="2"/>
      <c r="E35" s="2"/>
    </row>
    <row r="36" spans="2:5">
      <c r="B36" s="1"/>
      <c r="C36" s="1"/>
      <c r="D36" s="2"/>
      <c r="E36" s="2"/>
    </row>
    <row r="37" spans="2:5">
      <c r="B37" s="1"/>
      <c r="C37" s="1"/>
      <c r="D37" s="2"/>
      <c r="E37" s="2"/>
    </row>
    <row r="38" spans="2:5">
      <c r="B38" s="1"/>
      <c r="C38" s="1"/>
      <c r="D38" s="2"/>
      <c r="E38" s="2"/>
    </row>
    <row r="39" spans="2:5">
      <c r="B39" s="1"/>
      <c r="C39" s="1"/>
      <c r="D39" s="2"/>
      <c r="E39" s="2"/>
    </row>
    <row r="40" spans="2:5">
      <c r="B40" s="1"/>
      <c r="C40" s="1"/>
      <c r="D40" s="2"/>
      <c r="E40" s="2"/>
    </row>
    <row r="41" spans="2:5">
      <c r="B41" s="1"/>
      <c r="C41" s="1"/>
      <c r="D41" s="2"/>
      <c r="E41" s="2"/>
    </row>
    <row r="42" spans="2:5">
      <c r="B42" s="1"/>
      <c r="C42" s="1"/>
      <c r="D42" s="2"/>
      <c r="E42" s="2"/>
    </row>
    <row r="43" spans="2:5">
      <c r="B43" s="1"/>
      <c r="C43" s="1"/>
      <c r="D43" s="2"/>
      <c r="E43" s="2"/>
    </row>
    <row r="44" spans="2:5">
      <c r="B44" s="1"/>
      <c r="C44" s="1"/>
      <c r="D44" s="2"/>
      <c r="E44" s="2"/>
    </row>
    <row r="45" spans="2:5">
      <c r="B45" s="1"/>
      <c r="C45" s="1"/>
      <c r="D45" s="2"/>
      <c r="E45" s="2"/>
    </row>
    <row r="46" spans="2:5">
      <c r="B46" s="1"/>
      <c r="C46" s="1"/>
      <c r="D46" s="2"/>
      <c r="E46" s="2"/>
    </row>
    <row r="47" spans="2:5">
      <c r="B47" s="1"/>
      <c r="C47" s="1"/>
      <c r="D47" s="2"/>
      <c r="E47" s="2"/>
    </row>
    <row r="48" spans="2:5">
      <c r="B48" s="1"/>
      <c r="C48" s="1"/>
      <c r="D48" s="2"/>
      <c r="E48" s="2"/>
    </row>
    <row r="49" spans="2:5">
      <c r="B49" s="1"/>
      <c r="C49" s="1"/>
      <c r="D49" s="2"/>
      <c r="E49" s="2"/>
    </row>
    <row r="50" spans="2:5">
      <c r="B50" s="1"/>
      <c r="C50" s="1"/>
      <c r="D50" s="2"/>
      <c r="E50" s="2"/>
    </row>
    <row r="51" spans="2:5">
      <c r="B51" s="1"/>
      <c r="C51" s="1"/>
      <c r="D51" s="2"/>
      <c r="E51" s="2"/>
    </row>
    <row r="52" spans="2:5">
      <c r="B52" s="1"/>
      <c r="C52" s="1"/>
      <c r="D52" s="2"/>
      <c r="E52" s="2"/>
    </row>
    <row r="53" spans="2:5">
      <c r="B53" s="1"/>
      <c r="C53" s="1"/>
      <c r="D53" s="2"/>
      <c r="E53" s="2"/>
    </row>
    <row r="54" spans="2:5">
      <c r="B54" s="1"/>
      <c r="C54" s="1"/>
      <c r="D54" s="2"/>
      <c r="E54" s="2"/>
    </row>
    <row r="55" spans="2:5">
      <c r="B55" s="1"/>
      <c r="C55" s="1"/>
      <c r="D55" s="2"/>
      <c r="E55" s="2"/>
    </row>
    <row r="56" spans="2:5">
      <c r="B56" s="1"/>
      <c r="C56" s="1"/>
      <c r="D56" s="2"/>
      <c r="E56" s="2"/>
    </row>
    <row r="57" spans="2:5">
      <c r="B57" s="1"/>
      <c r="C57" s="1"/>
      <c r="D57" s="2"/>
      <c r="E57" s="2"/>
    </row>
    <row r="58" spans="2:5">
      <c r="B58" s="1"/>
      <c r="C58" s="1"/>
      <c r="D58" s="2"/>
      <c r="E58" s="2"/>
    </row>
    <row r="59" spans="2:5">
      <c r="B59" s="1"/>
      <c r="C59" s="1"/>
      <c r="D59" s="2"/>
      <c r="E59" s="2"/>
    </row>
    <row r="60" spans="2:5">
      <c r="B60" s="1"/>
      <c r="C60" s="1"/>
      <c r="D60" s="2"/>
      <c r="E60" s="2"/>
    </row>
    <row r="61" spans="2:5">
      <c r="B61" s="1"/>
      <c r="C61" s="1"/>
      <c r="D61" s="2"/>
      <c r="E61" s="2"/>
    </row>
    <row r="62" spans="2:5">
      <c r="B62" s="1"/>
      <c r="C62" s="1"/>
      <c r="D62" s="2"/>
      <c r="E62" s="2"/>
    </row>
    <row r="63" spans="2:5">
      <c r="B63" s="1"/>
      <c r="C63" s="1"/>
      <c r="D63" s="2"/>
      <c r="E63" s="2"/>
    </row>
    <row r="64" spans="2:5">
      <c r="B64" s="1"/>
      <c r="C64" s="1"/>
      <c r="D64" s="2"/>
      <c r="E64" s="2"/>
    </row>
    <row r="65" spans="2:5">
      <c r="B65" s="1"/>
      <c r="C65" s="1"/>
      <c r="D65" s="2"/>
      <c r="E65" s="2"/>
    </row>
    <row r="66" spans="2:5">
      <c r="B66" s="1"/>
      <c r="C66" s="1"/>
      <c r="D66" s="2"/>
      <c r="E66" s="2"/>
    </row>
    <row r="67" spans="2:5">
      <c r="B67" s="1"/>
      <c r="C67" s="1"/>
      <c r="D67" s="2"/>
      <c r="E67" s="2"/>
    </row>
    <row r="68" spans="2:5">
      <c r="B68" s="1"/>
      <c r="C68" s="1"/>
      <c r="D68" s="2"/>
      <c r="E68" s="2"/>
    </row>
    <row r="69" spans="2:5">
      <c r="B69" s="1"/>
      <c r="C69" s="1"/>
      <c r="D69" s="2"/>
      <c r="E69" s="2"/>
    </row>
    <row r="70" spans="2:5">
      <c r="B70" s="1"/>
      <c r="C70" s="1"/>
      <c r="D70" s="2"/>
      <c r="E70" s="2"/>
    </row>
    <row r="71" spans="2:5">
      <c r="B71" s="1"/>
      <c r="C71" s="1"/>
      <c r="D71" s="2"/>
      <c r="E71" s="2"/>
    </row>
    <row r="72" spans="2:5">
      <c r="B72" s="1"/>
      <c r="C72" s="1"/>
      <c r="D72" s="2"/>
      <c r="E72" s="2"/>
    </row>
    <row r="73" spans="2:5">
      <c r="B73" s="1"/>
      <c r="C73" s="1"/>
      <c r="D73" s="2"/>
      <c r="E73" s="2"/>
    </row>
    <row r="74" spans="2:5">
      <c r="B74" s="1"/>
      <c r="C74" s="1"/>
      <c r="D74" s="2"/>
      <c r="E74" s="2"/>
    </row>
    <row r="75" spans="2:5">
      <c r="B75" s="1"/>
      <c r="C75" s="1"/>
      <c r="D75" s="2"/>
      <c r="E75" s="2"/>
    </row>
    <row r="76" spans="2:5">
      <c r="B76" s="1"/>
      <c r="C76" s="1"/>
      <c r="D76" s="2"/>
      <c r="E76" s="2"/>
    </row>
    <row r="77" spans="2:5">
      <c r="B77" s="1"/>
      <c r="C77" s="1"/>
      <c r="D77" s="2"/>
      <c r="E77" s="2"/>
    </row>
    <row r="78" spans="2:5">
      <c r="B78" s="1"/>
      <c r="C78" s="1"/>
      <c r="D78" s="2"/>
      <c r="E78" s="2"/>
    </row>
    <row r="79" spans="2:5">
      <c r="B79" s="1"/>
      <c r="C79" s="1"/>
      <c r="D79" s="2"/>
      <c r="E79" s="2"/>
    </row>
    <row r="80" spans="2:5">
      <c r="B80" s="1"/>
      <c r="C80" s="1"/>
      <c r="D80" s="2"/>
      <c r="E80" s="2"/>
    </row>
    <row r="81" spans="2:5">
      <c r="B81" s="1"/>
      <c r="C81" s="1"/>
      <c r="D81" s="2"/>
      <c r="E81" s="2"/>
    </row>
    <row r="82" spans="2:5">
      <c r="B82" s="1"/>
      <c r="C82" s="1"/>
      <c r="D82" s="2"/>
      <c r="E82" s="2"/>
    </row>
    <row r="83" spans="2:5">
      <c r="B83" s="1"/>
      <c r="C83" s="1"/>
      <c r="D83" s="2"/>
      <c r="E83" s="2"/>
    </row>
    <row r="84" spans="2:5">
      <c r="B84" s="1"/>
      <c r="C84" s="1"/>
      <c r="D84" s="2"/>
      <c r="E84" s="2"/>
    </row>
    <row r="85" spans="2:5">
      <c r="B85" s="1"/>
      <c r="C85" s="1"/>
      <c r="D85" s="2"/>
      <c r="E85" s="2"/>
    </row>
    <row r="86" spans="2:5">
      <c r="B86" s="1"/>
      <c r="C86" s="1"/>
      <c r="D86" s="2"/>
      <c r="E86" s="2"/>
    </row>
    <row r="87" spans="2:5">
      <c r="B87" s="1"/>
      <c r="C87" s="1"/>
      <c r="D87" s="2"/>
      <c r="E87" s="2"/>
    </row>
    <row r="88" spans="2:5">
      <c r="B88" s="1"/>
      <c r="C88" s="1"/>
      <c r="D88" s="2"/>
      <c r="E88" s="2"/>
    </row>
    <row r="89" spans="2:5">
      <c r="B89" s="1"/>
      <c r="C89" s="1"/>
      <c r="D89" s="2"/>
      <c r="E89" s="2"/>
    </row>
    <row r="90" spans="2:5">
      <c r="B90" s="1"/>
      <c r="C90" s="1"/>
      <c r="D90" s="2"/>
      <c r="E90" s="2"/>
    </row>
    <row r="91" spans="2:5">
      <c r="B91" s="1"/>
      <c r="C91" s="1"/>
      <c r="D91" s="2"/>
      <c r="E91" s="2"/>
    </row>
    <row r="92" spans="2:5">
      <c r="B92" s="1"/>
      <c r="C92" s="1"/>
      <c r="D92" s="2"/>
      <c r="E92" s="2"/>
    </row>
    <row r="93" spans="2:5">
      <c r="B93" s="1"/>
      <c r="C93" s="1"/>
      <c r="D93" s="2"/>
      <c r="E93" s="2"/>
    </row>
    <row r="94" spans="2:5">
      <c r="B94" s="1"/>
      <c r="C94" s="1"/>
      <c r="D94" s="2"/>
      <c r="E94" s="2"/>
    </row>
    <row r="95" spans="2:5">
      <c r="B95" s="1"/>
      <c r="C95" s="1"/>
      <c r="D95" s="2"/>
      <c r="E95" s="2"/>
    </row>
    <row r="96" spans="2:5">
      <c r="B96" s="1"/>
      <c r="C96" s="1"/>
      <c r="D96" s="2"/>
      <c r="E96" s="2"/>
    </row>
    <row r="97" spans="2:5">
      <c r="B97" s="1"/>
      <c r="C97" s="1"/>
      <c r="D97" s="2"/>
      <c r="E97" s="2"/>
    </row>
    <row r="98" spans="2:5">
      <c r="B98" s="1"/>
      <c r="C98" s="1"/>
      <c r="D98" s="2"/>
      <c r="E98" s="2"/>
    </row>
    <row r="99" spans="2:5">
      <c r="B99" s="1"/>
      <c r="C99" s="1"/>
      <c r="D99" s="2"/>
      <c r="E99" s="2"/>
    </row>
    <row r="100" spans="2:5">
      <c r="B100" s="1"/>
      <c r="C100" s="1"/>
      <c r="D100" s="2"/>
      <c r="E100" s="2"/>
    </row>
    <row r="101" spans="2:5">
      <c r="B101" s="1"/>
      <c r="C101" s="1"/>
      <c r="D101" s="2"/>
      <c r="E101" s="2"/>
    </row>
    <row r="102" spans="2:5">
      <c r="B102" s="1"/>
      <c r="C102" s="1"/>
      <c r="D102" s="2"/>
      <c r="E102" s="2"/>
    </row>
    <row r="103" spans="2:5">
      <c r="B103" s="1"/>
      <c r="C103" s="1"/>
      <c r="D103" s="2"/>
      <c r="E103" s="2"/>
    </row>
    <row r="104" spans="2:5">
      <c r="B104" s="1"/>
      <c r="C104" s="1"/>
      <c r="D104" s="2"/>
      <c r="E104" s="2"/>
    </row>
    <row r="105" spans="2:5">
      <c r="B105" s="1"/>
      <c r="C105" s="1"/>
      <c r="D105" s="2"/>
      <c r="E105" s="2"/>
    </row>
    <row r="106" spans="2:5">
      <c r="B106" s="1"/>
      <c r="C106" s="1"/>
      <c r="D106" s="2"/>
      <c r="E106" s="2"/>
    </row>
    <row r="107" spans="2:5">
      <c r="B107" s="1"/>
      <c r="C107" s="1"/>
      <c r="D107" s="2"/>
      <c r="E107" s="2"/>
    </row>
    <row r="108" spans="2:5">
      <c r="B108" s="1"/>
      <c r="C108" s="1"/>
      <c r="D108" s="2"/>
      <c r="E108" s="2"/>
    </row>
    <row r="109" spans="2:5">
      <c r="B109" s="1"/>
      <c r="C109" s="1"/>
      <c r="D109" s="2"/>
      <c r="E109" s="2"/>
    </row>
    <row r="110" spans="2:5">
      <c r="B110" s="1"/>
      <c r="C110" s="1"/>
      <c r="D110" s="2"/>
      <c r="E110" s="2"/>
    </row>
    <row r="111" spans="2:5">
      <c r="B111" s="1"/>
      <c r="C111" s="1"/>
      <c r="D111" s="2"/>
      <c r="E111" s="2"/>
    </row>
    <row r="112" spans="2:5">
      <c r="B112" s="1"/>
      <c r="C112" s="1"/>
      <c r="D112" s="2"/>
      <c r="E112" s="2"/>
    </row>
    <row r="113" spans="2:5">
      <c r="B113" s="1"/>
      <c r="C113" s="1"/>
      <c r="D113" s="2"/>
      <c r="E113" s="2"/>
    </row>
    <row r="114" spans="2:5">
      <c r="B114" s="1"/>
      <c r="C114" s="1"/>
      <c r="D114" s="2"/>
      <c r="E114" s="2"/>
    </row>
    <row r="115" spans="2:5">
      <c r="B115" s="1"/>
      <c r="C115" s="1"/>
      <c r="D115" s="2"/>
      <c r="E115" s="2"/>
    </row>
    <row r="116" spans="2:5">
      <c r="B116" s="1"/>
      <c r="C116" s="1"/>
      <c r="D116" s="2"/>
      <c r="E116" s="2"/>
    </row>
    <row r="117" spans="2:5">
      <c r="B117" s="1"/>
      <c r="C117" s="1"/>
      <c r="D117" s="2"/>
      <c r="E117" s="2"/>
    </row>
    <row r="118" spans="2:5">
      <c r="B118" s="1"/>
      <c r="C118" s="1"/>
      <c r="D118" s="2"/>
      <c r="E118" s="2"/>
    </row>
    <row r="119" spans="2:5">
      <c r="B119" s="1"/>
      <c r="C119" s="1"/>
      <c r="D119" s="2"/>
      <c r="E119" s="2"/>
    </row>
    <row r="120" spans="2:5">
      <c r="B120" s="1"/>
      <c r="C120" s="1"/>
      <c r="D120" s="2"/>
      <c r="E120" s="2"/>
    </row>
    <row r="121" spans="2:5">
      <c r="B121" s="1"/>
      <c r="C121" s="1"/>
      <c r="D121" s="2"/>
      <c r="E121" s="2"/>
    </row>
    <row r="122" spans="2:5">
      <c r="B122" s="1"/>
      <c r="C122" s="1"/>
      <c r="D122" s="2"/>
      <c r="E122" s="2"/>
    </row>
    <row r="123" spans="2:5">
      <c r="B123" s="1"/>
      <c r="C123" s="1"/>
      <c r="D123" s="2"/>
      <c r="E123" s="2"/>
    </row>
    <row r="124" spans="2:5">
      <c r="B124" s="1"/>
      <c r="C124" s="1"/>
      <c r="D124" s="2"/>
      <c r="E124" s="2"/>
    </row>
    <row r="125" spans="2:5">
      <c r="B125" s="1"/>
      <c r="C125" s="1"/>
      <c r="D125" s="2"/>
      <c r="E125" s="2"/>
    </row>
    <row r="126" spans="2:5">
      <c r="B126" s="1"/>
      <c r="C126" s="1"/>
      <c r="D126" s="2"/>
      <c r="E126" s="2"/>
    </row>
    <row r="127" spans="2:5">
      <c r="B127" s="1"/>
      <c r="C127" s="1"/>
      <c r="D127" s="2"/>
      <c r="E127" s="2"/>
    </row>
    <row r="128" spans="2:5">
      <c r="B128" s="1"/>
      <c r="C128" s="1"/>
      <c r="D128" s="2"/>
      <c r="E128" s="2"/>
    </row>
    <row r="129" spans="2:5">
      <c r="B129" s="1"/>
      <c r="C129" s="1"/>
      <c r="D129" s="2"/>
      <c r="E129" s="2"/>
    </row>
    <row r="130" spans="2:5">
      <c r="B130" s="1"/>
      <c r="C130" s="1"/>
      <c r="D130" s="2"/>
      <c r="E130" s="2"/>
    </row>
    <row r="131" spans="2:5">
      <c r="B131" s="1"/>
      <c r="C131" s="1"/>
      <c r="D131" s="2"/>
      <c r="E131" s="2"/>
    </row>
    <row r="132" spans="2:5">
      <c r="B132" s="1"/>
      <c r="C132" s="1"/>
      <c r="D132" s="2"/>
      <c r="E132" s="2"/>
    </row>
    <row r="133" spans="2:5">
      <c r="B133" s="1"/>
      <c r="C133" s="1"/>
      <c r="D133" s="2"/>
      <c r="E133" s="2"/>
    </row>
    <row r="134" spans="2:5">
      <c r="B134" s="1"/>
      <c r="C134" s="1"/>
      <c r="D134" s="2"/>
      <c r="E134" s="2"/>
    </row>
    <row r="135" spans="2:5">
      <c r="B135" s="1"/>
      <c r="C135" s="1"/>
      <c r="D135" s="2"/>
      <c r="E135" s="2"/>
    </row>
    <row r="136" spans="2:5">
      <c r="B136" s="1"/>
      <c r="C136" s="1"/>
      <c r="D136" s="2"/>
      <c r="E136" s="2"/>
    </row>
    <row r="137" spans="2:5">
      <c r="B137" s="1"/>
      <c r="C137" s="1"/>
      <c r="D137" s="2"/>
      <c r="E137" s="2"/>
    </row>
    <row r="138" spans="2:5">
      <c r="B138" s="1"/>
      <c r="C138" s="1"/>
      <c r="D138" s="2"/>
      <c r="E138" s="2"/>
    </row>
    <row r="139" spans="2:5">
      <c r="B139" s="1"/>
      <c r="C139" s="1"/>
      <c r="D139" s="2"/>
      <c r="E139" s="2"/>
    </row>
    <row r="140" spans="2:5">
      <c r="B140" s="1"/>
      <c r="C140" s="1"/>
      <c r="D140" s="2"/>
      <c r="E140" s="2"/>
    </row>
    <row r="141" spans="2:5">
      <c r="B141" s="1"/>
      <c r="C141" s="1"/>
      <c r="D141" s="2"/>
      <c r="E141" s="2"/>
    </row>
    <row r="142" spans="2:5">
      <c r="B142" s="1"/>
      <c r="C142" s="1"/>
      <c r="D142" s="2"/>
      <c r="E142" s="2"/>
    </row>
    <row r="143" spans="2:5">
      <c r="B143" s="1"/>
      <c r="C143" s="1"/>
      <c r="D143" s="2"/>
      <c r="E143" s="2"/>
    </row>
    <row r="144" spans="2:5">
      <c r="B144" s="1"/>
      <c r="C144" s="1"/>
      <c r="D144" s="2"/>
      <c r="E144" s="2"/>
    </row>
    <row r="145" spans="2:5">
      <c r="B145" s="1"/>
      <c r="C145" s="1"/>
      <c r="D145" s="2"/>
      <c r="E145" s="2"/>
    </row>
    <row r="146" spans="2:5">
      <c r="B146" s="1"/>
      <c r="C146" s="1"/>
      <c r="D146" s="2"/>
      <c r="E146" s="2"/>
    </row>
    <row r="147" spans="2:5">
      <c r="B147" s="1"/>
      <c r="C147" s="1"/>
      <c r="D147" s="2"/>
      <c r="E147" s="2"/>
    </row>
    <row r="148" spans="2:5">
      <c r="B148" s="1"/>
      <c r="C148" s="1"/>
      <c r="D148" s="2"/>
      <c r="E148" s="2"/>
    </row>
    <row r="149" spans="2:5">
      <c r="B149" s="1"/>
      <c r="C149" s="1"/>
      <c r="D149" s="2"/>
      <c r="E149" s="2"/>
    </row>
    <row r="150" spans="2:5">
      <c r="B150" s="1"/>
      <c r="C150" s="1"/>
      <c r="D150" s="2"/>
      <c r="E150" s="2"/>
    </row>
    <row r="151" spans="2:5">
      <c r="B151" s="1"/>
      <c r="C151" s="1"/>
      <c r="D151" s="2"/>
      <c r="E151" s="2"/>
    </row>
    <row r="152" spans="2:5">
      <c r="B152" s="1"/>
      <c r="C152" s="1"/>
      <c r="D152" s="2"/>
      <c r="E152" s="2"/>
    </row>
    <row r="153" spans="2:5">
      <c r="B153" s="1"/>
      <c r="C153" s="1"/>
      <c r="D153" s="2"/>
      <c r="E153" s="2"/>
    </row>
    <row r="154" spans="2:5">
      <c r="B154" s="1"/>
      <c r="C154" s="1"/>
      <c r="D154" s="2"/>
      <c r="E154" s="2"/>
    </row>
    <row r="155" spans="2:5">
      <c r="B155" s="1"/>
      <c r="C155" s="1"/>
      <c r="D155" s="2"/>
      <c r="E155" s="2"/>
    </row>
    <row r="156" spans="2:5">
      <c r="B156" s="1"/>
      <c r="C156" s="1"/>
      <c r="D156" s="2"/>
      <c r="E156" s="2"/>
    </row>
    <row r="157" spans="2:5">
      <c r="B157" s="1"/>
      <c r="C157" s="1"/>
      <c r="D157" s="2"/>
      <c r="E157" s="2"/>
    </row>
    <row r="158" spans="2:5">
      <c r="B158" s="1"/>
      <c r="C158" s="1"/>
      <c r="D158" s="2"/>
      <c r="E158" s="2"/>
    </row>
    <row r="159" spans="2:5">
      <c r="B159" s="1"/>
      <c r="C159" s="1"/>
      <c r="D159" s="2"/>
      <c r="E159" s="2"/>
    </row>
    <row r="160" spans="2:5">
      <c r="B160" s="1"/>
      <c r="C160" s="1"/>
      <c r="D160" s="2"/>
      <c r="E160" s="2"/>
    </row>
    <row r="161" spans="2:5">
      <c r="B161" s="1"/>
      <c r="C161" s="1"/>
      <c r="D161" s="2"/>
      <c r="E161" s="2"/>
    </row>
    <row r="162" spans="2:5">
      <c r="B162" s="1"/>
      <c r="C162" s="1"/>
      <c r="D162" s="2"/>
      <c r="E162" s="2"/>
    </row>
    <row r="163" spans="2:5">
      <c r="B163" s="1"/>
      <c r="C163" s="1"/>
      <c r="D163" s="2"/>
      <c r="E163" s="2"/>
    </row>
    <row r="164" spans="2:5">
      <c r="B164" s="1"/>
      <c r="C164" s="1"/>
      <c r="D164" s="2"/>
      <c r="E164" s="2"/>
    </row>
    <row r="165" spans="2:5">
      <c r="B165" s="1"/>
      <c r="C165" s="1"/>
      <c r="D165" s="2"/>
      <c r="E165" s="2"/>
    </row>
    <row r="166" spans="2:5">
      <c r="B166" s="1"/>
      <c r="C166" s="1"/>
      <c r="D166" s="2"/>
      <c r="E166" s="2"/>
    </row>
    <row r="167" spans="2:5">
      <c r="B167" s="1"/>
      <c r="C167" s="1"/>
      <c r="D167" s="2"/>
      <c r="E167" s="2"/>
    </row>
    <row r="168" spans="2:5">
      <c r="B168" s="1"/>
      <c r="C168" s="1"/>
      <c r="D168" s="2"/>
      <c r="E168" s="2"/>
    </row>
    <row r="169" spans="2:5">
      <c r="B169" s="1"/>
      <c r="C169" s="1"/>
      <c r="D169" s="2"/>
      <c r="E169" s="2"/>
    </row>
    <row r="170" spans="2:5">
      <c r="B170" s="1"/>
      <c r="C170" s="1"/>
      <c r="D170" s="2"/>
      <c r="E170" s="2"/>
    </row>
    <row r="171" spans="2:5">
      <c r="B171" s="1"/>
      <c r="C171" s="1"/>
      <c r="D171" s="2"/>
      <c r="E171" s="2"/>
    </row>
    <row r="172" spans="2:5">
      <c r="B172" s="1"/>
      <c r="C172" s="1"/>
      <c r="D172" s="2"/>
      <c r="E172" s="2"/>
    </row>
    <row r="173" spans="2:5">
      <c r="B173" s="1"/>
      <c r="C173" s="1"/>
      <c r="D173" s="2"/>
      <c r="E173" s="2"/>
    </row>
    <row r="174" spans="2:5">
      <c r="B174" s="1"/>
      <c r="C174" s="1"/>
      <c r="D174" s="2"/>
      <c r="E174" s="2"/>
    </row>
    <row r="175" spans="2:5">
      <c r="B175" s="1"/>
      <c r="C175" s="1"/>
      <c r="D175" s="2"/>
      <c r="E175" s="2"/>
    </row>
    <row r="176" spans="2:5">
      <c r="B176" s="1"/>
      <c r="C176" s="1"/>
      <c r="D176" s="2"/>
      <c r="E176" s="2"/>
    </row>
    <row r="177" spans="2:5">
      <c r="B177" s="1"/>
      <c r="C177" s="1"/>
      <c r="D177" s="2"/>
      <c r="E177" s="2"/>
    </row>
    <row r="178" spans="2:5">
      <c r="B178" s="1"/>
      <c r="C178" s="1"/>
      <c r="D178" s="2"/>
      <c r="E178" s="2"/>
    </row>
    <row r="179" spans="2:5">
      <c r="B179" s="1"/>
      <c r="C179" s="1"/>
      <c r="D179" s="2"/>
      <c r="E179" s="2"/>
    </row>
    <row r="180" spans="2:5">
      <c r="B180" s="1"/>
      <c r="C180" s="1"/>
      <c r="D180" s="2"/>
      <c r="E180" s="2"/>
    </row>
    <row r="181" spans="2:5">
      <c r="B181" s="1"/>
      <c r="C181" s="1"/>
      <c r="D181" s="2"/>
      <c r="E181" s="2"/>
    </row>
    <row r="182" spans="2:5">
      <c r="B182" s="1"/>
      <c r="C182" s="1"/>
      <c r="D182" s="2"/>
      <c r="E182" s="2"/>
    </row>
    <row r="183" spans="2:5">
      <c r="B183" s="1"/>
      <c r="C183" s="1"/>
      <c r="D183" s="2"/>
      <c r="E183" s="2"/>
    </row>
    <row r="184" spans="2:5">
      <c r="B184" s="1"/>
      <c r="C184" s="1"/>
      <c r="D184" s="2"/>
      <c r="E184" s="2"/>
    </row>
    <row r="185" spans="2:5">
      <c r="B185" s="1"/>
      <c r="C185" s="1"/>
      <c r="D185" s="2"/>
      <c r="E185" s="2"/>
    </row>
    <row r="186" spans="2:5">
      <c r="B186" s="1"/>
      <c r="C186" s="1"/>
      <c r="D186" s="2"/>
      <c r="E186" s="2"/>
    </row>
    <row r="187" spans="2:5">
      <c r="B187" s="1"/>
      <c r="C187" s="1"/>
      <c r="D187" s="2"/>
      <c r="E187" s="2"/>
    </row>
    <row r="188" spans="2:5">
      <c r="B188" s="1"/>
      <c r="C188" s="1"/>
      <c r="D188" s="2"/>
      <c r="E188" s="2"/>
    </row>
    <row r="189" spans="2:5">
      <c r="B189" s="1"/>
      <c r="C189" s="1"/>
      <c r="D189" s="2"/>
      <c r="E189" s="2"/>
    </row>
    <row r="190" spans="2:5">
      <c r="B190" s="1"/>
      <c r="C190" s="1"/>
      <c r="D190" s="2"/>
      <c r="E190" s="2"/>
    </row>
    <row r="191" spans="2:5">
      <c r="B191" s="1"/>
      <c r="C191" s="1"/>
      <c r="D191" s="2"/>
      <c r="E191" s="2"/>
    </row>
    <row r="192" spans="2:5">
      <c r="B192" s="1"/>
      <c r="C192" s="1"/>
      <c r="D192" s="2"/>
      <c r="E192" s="2"/>
    </row>
    <row r="193" spans="2:5">
      <c r="B193" s="1"/>
      <c r="C193" s="1"/>
      <c r="D193" s="2"/>
      <c r="E193" s="2"/>
    </row>
    <row r="194" spans="2:5">
      <c r="B194" s="1"/>
      <c r="C194" s="1"/>
      <c r="D194" s="2"/>
      <c r="E194" s="2"/>
    </row>
    <row r="195" spans="2:5">
      <c r="B195" s="1"/>
      <c r="C195" s="1"/>
      <c r="D195" s="2"/>
      <c r="E195" s="2"/>
    </row>
    <row r="196" spans="2:5">
      <c r="B196" s="1"/>
      <c r="C196" s="1"/>
      <c r="D196" s="2"/>
      <c r="E196" s="2"/>
    </row>
    <row r="197" spans="2:5">
      <c r="B197" s="1"/>
      <c r="C197" s="1"/>
      <c r="D197" s="2"/>
      <c r="E197" s="2"/>
    </row>
    <row r="198" spans="2:5">
      <c r="B198" s="1"/>
      <c r="C198" s="1"/>
      <c r="D198" s="2"/>
      <c r="E198" s="2"/>
    </row>
    <row r="199" spans="2:5">
      <c r="B199" s="1"/>
      <c r="C199" s="1"/>
      <c r="D199" s="2"/>
      <c r="E199" s="2"/>
    </row>
    <row r="200" spans="2:5">
      <c r="B200" s="1"/>
      <c r="C200" s="1"/>
      <c r="D200" s="2"/>
      <c r="E200" s="2"/>
    </row>
    <row r="201" spans="2:5">
      <c r="B201" s="1"/>
      <c r="C201" s="1"/>
      <c r="D201" s="2"/>
      <c r="E201" s="2"/>
    </row>
    <row r="202" spans="2:5">
      <c r="B202" s="1"/>
      <c r="C202" s="1"/>
      <c r="D202" s="2"/>
      <c r="E202" s="2"/>
    </row>
    <row r="203" spans="2:5">
      <c r="B203" s="1"/>
      <c r="C203" s="1"/>
      <c r="D203" s="2"/>
      <c r="E203" s="2"/>
    </row>
    <row r="204" spans="2:5">
      <c r="B204" s="1"/>
      <c r="C204" s="1"/>
      <c r="D204" s="2"/>
      <c r="E204" s="2"/>
    </row>
    <row r="205" spans="2:5">
      <c r="B205" s="1"/>
      <c r="C205" s="1"/>
      <c r="D205" s="2"/>
      <c r="E205" s="2"/>
    </row>
    <row r="206" spans="2:5">
      <c r="B206" s="1"/>
      <c r="C206" s="1"/>
      <c r="D206" s="2"/>
      <c r="E206" s="2"/>
    </row>
    <row r="207" spans="2:5">
      <c r="B207" s="1"/>
      <c r="C207" s="1"/>
      <c r="D207" s="2"/>
      <c r="E207" s="2"/>
    </row>
    <row r="208" spans="2:5">
      <c r="B208" s="1"/>
      <c r="C208" s="1"/>
      <c r="D208" s="2"/>
      <c r="E208" s="2"/>
    </row>
    <row r="209" spans="2:5">
      <c r="B209" s="1"/>
      <c r="C209" s="1"/>
      <c r="D209" s="2"/>
      <c r="E209" s="2"/>
    </row>
    <row r="210" spans="2:5">
      <c r="B210" s="1"/>
      <c r="C210" s="1"/>
      <c r="D210" s="2"/>
      <c r="E210" s="2"/>
    </row>
    <row r="211" spans="2:5">
      <c r="B211" s="1"/>
      <c r="C211" s="1"/>
      <c r="D211" s="2"/>
      <c r="E211" s="2"/>
    </row>
    <row r="212" spans="2:5">
      <c r="B212" s="1"/>
      <c r="C212" s="1"/>
      <c r="D212" s="2"/>
      <c r="E212" s="2"/>
    </row>
    <row r="213" spans="2:5">
      <c r="B213" s="1"/>
      <c r="C213" s="1"/>
      <c r="D213" s="2"/>
      <c r="E213" s="2"/>
    </row>
    <row r="214" spans="2:5">
      <c r="B214" s="1"/>
      <c r="C214" s="1"/>
      <c r="D214" s="2"/>
      <c r="E214" s="2"/>
    </row>
    <row r="215" spans="2:5">
      <c r="B215" s="1"/>
      <c r="C215" s="1"/>
      <c r="D215" s="2"/>
      <c r="E215" s="2"/>
    </row>
    <row r="216" spans="2:5">
      <c r="B216" s="1"/>
      <c r="C216" s="1"/>
      <c r="D216" s="2"/>
      <c r="E216" s="2"/>
    </row>
    <row r="217" spans="2:5">
      <c r="B217" s="1"/>
      <c r="C217" s="1"/>
      <c r="D217" s="2"/>
      <c r="E217" s="2"/>
    </row>
    <row r="218" spans="2:5">
      <c r="B218" s="1"/>
      <c r="C218" s="1"/>
      <c r="D218" s="2"/>
      <c r="E218" s="2"/>
    </row>
    <row r="219" spans="2:5">
      <c r="B219" s="1"/>
      <c r="C219" s="1"/>
      <c r="D219" s="2"/>
      <c r="E219" s="2"/>
    </row>
    <row r="220" spans="2:5">
      <c r="B220" s="1"/>
      <c r="C220" s="1"/>
      <c r="D220" s="2"/>
      <c r="E220" s="2"/>
    </row>
    <row r="221" spans="2:5">
      <c r="B221" s="1"/>
      <c r="C221" s="1"/>
      <c r="D221" s="2"/>
      <c r="E221" s="2"/>
    </row>
    <row r="222" spans="2:5">
      <c r="B222" s="1"/>
      <c r="C222" s="1"/>
      <c r="D222" s="2"/>
      <c r="E222" s="2"/>
    </row>
    <row r="223" spans="2:5">
      <c r="B223" s="1"/>
      <c r="C223" s="1"/>
      <c r="D223" s="2"/>
      <c r="E223" s="2"/>
    </row>
    <row r="224" spans="2:5">
      <c r="B224" s="1"/>
      <c r="C224" s="1"/>
      <c r="D224" s="2"/>
      <c r="E224" s="2"/>
    </row>
    <row r="225" spans="2:5">
      <c r="B225" s="1"/>
      <c r="C225" s="1"/>
      <c r="D225" s="2"/>
      <c r="E225" s="2"/>
    </row>
    <row r="226" spans="2:5">
      <c r="B226" s="1"/>
      <c r="C226" s="1"/>
      <c r="D226" s="2"/>
      <c r="E226" s="2"/>
    </row>
    <row r="227" spans="2:5">
      <c r="B227" s="1"/>
      <c r="C227" s="1"/>
      <c r="D227" s="2"/>
      <c r="E227" s="2"/>
    </row>
    <row r="228" spans="2:5">
      <c r="B228" s="1"/>
      <c r="C228" s="1"/>
      <c r="D228" s="2"/>
      <c r="E228" s="2"/>
    </row>
    <row r="229" spans="2:5">
      <c r="B229" s="1"/>
      <c r="C229" s="1"/>
      <c r="D229" s="2"/>
      <c r="E229" s="2"/>
    </row>
    <row r="230" spans="2:5">
      <c r="B230" s="1"/>
      <c r="C230" s="1"/>
      <c r="D230" s="2"/>
      <c r="E230" s="2"/>
    </row>
    <row r="231" spans="2:5">
      <c r="B231" s="1"/>
      <c r="C231" s="1"/>
      <c r="D231" s="2"/>
      <c r="E231" s="2"/>
    </row>
    <row r="232" spans="2:5">
      <c r="B232" s="1"/>
      <c r="C232" s="1"/>
      <c r="D232" s="2"/>
      <c r="E232" s="2"/>
    </row>
    <row r="233" spans="2:5">
      <c r="B233" s="1"/>
      <c r="C233" s="1"/>
      <c r="D233" s="2"/>
      <c r="E233" s="2"/>
    </row>
    <row r="234" spans="2:5">
      <c r="B234" s="1"/>
      <c r="C234" s="1"/>
      <c r="D234" s="2"/>
      <c r="E234" s="2"/>
    </row>
    <row r="235" spans="2:5">
      <c r="B235" s="1"/>
      <c r="C235" s="1"/>
      <c r="D235" s="2"/>
      <c r="E235" s="2"/>
    </row>
    <row r="236" spans="2:5">
      <c r="B236" s="1"/>
      <c r="C236" s="1"/>
      <c r="D236" s="2"/>
      <c r="E236" s="2"/>
    </row>
    <row r="237" spans="2:5">
      <c r="B237" s="1"/>
      <c r="C237" s="1"/>
      <c r="D237" s="2"/>
      <c r="E237" s="2"/>
    </row>
    <row r="238" spans="2:5">
      <c r="B238" s="1"/>
      <c r="C238" s="1"/>
      <c r="D238" s="2"/>
      <c r="E238" s="2"/>
    </row>
    <row r="239" spans="2:5">
      <c r="B239" s="1"/>
      <c r="C239" s="1"/>
      <c r="D239" s="2"/>
      <c r="E239" s="2"/>
    </row>
    <row r="240" spans="2:5">
      <c r="B240" s="1"/>
      <c r="C240" s="1"/>
      <c r="D240" s="2"/>
      <c r="E240" s="2"/>
    </row>
    <row r="241" spans="2:5">
      <c r="B241" s="1"/>
      <c r="C241" s="1"/>
      <c r="D241" s="2"/>
      <c r="E241" s="2"/>
    </row>
    <row r="242" spans="2:5">
      <c r="B242" s="1"/>
      <c r="C242" s="1"/>
      <c r="D242" s="2"/>
      <c r="E242" s="2"/>
    </row>
    <row r="243" spans="2:5">
      <c r="B243" s="1"/>
      <c r="C243" s="1"/>
      <c r="D243" s="2"/>
      <c r="E243" s="2"/>
    </row>
    <row r="244" spans="2:5">
      <c r="B244" s="1"/>
      <c r="C244" s="1"/>
      <c r="D244" s="2"/>
      <c r="E244" s="2"/>
    </row>
    <row r="245" spans="2:5">
      <c r="B245" s="1"/>
      <c r="C245" s="1"/>
      <c r="D245" s="2"/>
      <c r="E245" s="2"/>
    </row>
    <row r="246" spans="2:5">
      <c r="B246" s="1"/>
      <c r="C246" s="1"/>
      <c r="D246" s="2"/>
      <c r="E246" s="2"/>
    </row>
    <row r="247" spans="2:5">
      <c r="B247" s="1"/>
      <c r="C247" s="1"/>
      <c r="D247" s="2"/>
      <c r="E247" s="2"/>
    </row>
    <row r="248" spans="2:5">
      <c r="B248" s="1"/>
      <c r="C248" s="1"/>
      <c r="D248" s="2"/>
      <c r="E248" s="2"/>
    </row>
    <row r="249" spans="2:5">
      <c r="B249" s="1"/>
      <c r="C249" s="1"/>
      <c r="D249" s="2"/>
      <c r="E249" s="2"/>
    </row>
    <row r="250" spans="2:5">
      <c r="B250" s="1"/>
      <c r="C250" s="1"/>
      <c r="D250" s="2"/>
      <c r="E250" s="2"/>
    </row>
    <row r="251" spans="2:5">
      <c r="B251" s="1"/>
      <c r="C251" s="1"/>
      <c r="D251" s="2"/>
      <c r="E251" s="2"/>
    </row>
    <row r="252" spans="2:5">
      <c r="B252" s="1"/>
      <c r="C252" s="1"/>
      <c r="D252" s="2"/>
      <c r="E252" s="2"/>
    </row>
    <row r="253" spans="2:5">
      <c r="B253" s="1"/>
      <c r="C253" s="1"/>
      <c r="D253" s="2"/>
      <c r="E253" s="2"/>
    </row>
    <row r="254" spans="2:5">
      <c r="B254" s="1"/>
      <c r="C254" s="1"/>
      <c r="D254" s="2"/>
      <c r="E254" s="2"/>
    </row>
    <row r="255" spans="2:5">
      <c r="B255" s="1"/>
      <c r="C255" s="1"/>
      <c r="D255" s="2"/>
      <c r="E255" s="2"/>
    </row>
    <row r="256" spans="2:5">
      <c r="B256" s="1"/>
      <c r="C256" s="1"/>
      <c r="D256" s="2"/>
      <c r="E256" s="2"/>
    </row>
    <row r="257" spans="2:5">
      <c r="B257" s="1"/>
      <c r="C257" s="1"/>
      <c r="D257" s="2"/>
      <c r="E257" s="2"/>
    </row>
    <row r="258" spans="2:5">
      <c r="B258" s="1"/>
      <c r="C258" s="1"/>
      <c r="D258" s="2"/>
      <c r="E258" s="2"/>
    </row>
    <row r="259" spans="2:5">
      <c r="B259" s="1"/>
      <c r="C259" s="1"/>
      <c r="D259" s="2"/>
      <c r="E259" s="2"/>
    </row>
    <row r="260" spans="2:5">
      <c r="B260" s="1"/>
      <c r="C260" s="1"/>
      <c r="D260" s="2"/>
      <c r="E260" s="2"/>
    </row>
    <row r="261" spans="2:5">
      <c r="B261" s="1"/>
      <c r="C261" s="1"/>
      <c r="D261" s="2"/>
      <c r="E261" s="2"/>
    </row>
    <row r="262" spans="2:5">
      <c r="B262" s="1"/>
      <c r="C262" s="1"/>
      <c r="D262" s="2"/>
      <c r="E262" s="2"/>
    </row>
    <row r="263" spans="2:5">
      <c r="B263" s="1"/>
      <c r="C263" s="1"/>
      <c r="D263" s="2"/>
      <c r="E263" s="2"/>
    </row>
    <row r="264" spans="2:5">
      <c r="B264" s="1"/>
      <c r="C264" s="1"/>
      <c r="D264" s="2"/>
      <c r="E264" s="2"/>
    </row>
    <row r="265" spans="2:5">
      <c r="B265" s="1"/>
      <c r="C265" s="1"/>
      <c r="D265" s="2"/>
      <c r="E265" s="2"/>
    </row>
    <row r="266" spans="2:5">
      <c r="B266" s="1"/>
      <c r="C266" s="1"/>
      <c r="D266" s="2"/>
      <c r="E266" s="2"/>
    </row>
    <row r="267" spans="2:5">
      <c r="B267" s="1"/>
      <c r="C267" s="1"/>
      <c r="D267" s="2"/>
      <c r="E267" s="2"/>
    </row>
    <row r="268" spans="2:5">
      <c r="B268" s="1"/>
      <c r="C268" s="1"/>
      <c r="D268" s="2"/>
      <c r="E268" s="2"/>
    </row>
    <row r="269" spans="2:5">
      <c r="B269" s="1"/>
      <c r="C269" s="1"/>
      <c r="D269" s="2"/>
      <c r="E269" s="2"/>
    </row>
    <row r="270" spans="2:5">
      <c r="B270" s="1"/>
      <c r="C270" s="1"/>
      <c r="D270" s="2"/>
      <c r="E270" s="2"/>
    </row>
    <row r="271" spans="2:5">
      <c r="B271" s="1"/>
      <c r="C271" s="1"/>
      <c r="D271" s="2"/>
      <c r="E271" s="2"/>
    </row>
    <row r="272" spans="2:5">
      <c r="B272" s="1"/>
      <c r="C272" s="1"/>
      <c r="D272" s="2"/>
      <c r="E272" s="2"/>
    </row>
    <row r="273" spans="2:5">
      <c r="B273" s="1"/>
      <c r="C273" s="1"/>
      <c r="D273" s="2"/>
      <c r="E273" s="2"/>
    </row>
    <row r="274" spans="2:5">
      <c r="B274" s="1"/>
      <c r="C274" s="1"/>
      <c r="D274" s="2"/>
      <c r="E274" s="2"/>
    </row>
    <row r="275" spans="2:5">
      <c r="B275" s="1"/>
      <c r="C275" s="1"/>
      <c r="D275" s="2"/>
      <c r="E275" s="2"/>
    </row>
    <row r="276" spans="2:5">
      <c r="B276" s="1"/>
      <c r="C276" s="1"/>
      <c r="D276" s="2"/>
      <c r="E276" s="2"/>
    </row>
    <row r="277" spans="2:5">
      <c r="B277" s="1"/>
      <c r="C277" s="1"/>
      <c r="D277" s="2"/>
      <c r="E277" s="2"/>
    </row>
    <row r="278" spans="2:5">
      <c r="B278" s="1"/>
      <c r="C278" s="1"/>
      <c r="D278" s="2"/>
      <c r="E278" s="2"/>
    </row>
    <row r="279" spans="2:5">
      <c r="B279" s="1"/>
      <c r="C279" s="1"/>
      <c r="D279" s="2"/>
      <c r="E279" s="2"/>
    </row>
    <row r="280" spans="2:5">
      <c r="B280" s="1"/>
      <c r="C280" s="1"/>
      <c r="D280" s="2"/>
      <c r="E280" s="2"/>
    </row>
    <row r="281" spans="2:5">
      <c r="B281" s="1"/>
      <c r="C281" s="1"/>
      <c r="D281" s="2"/>
      <c r="E281" s="2"/>
    </row>
    <row r="282" spans="2:5">
      <c r="B282" s="1"/>
      <c r="C282" s="1"/>
      <c r="D282" s="2"/>
      <c r="E282" s="2"/>
    </row>
    <row r="283" spans="2:5">
      <c r="B283" s="1"/>
      <c r="C283" s="1"/>
      <c r="D283" s="2"/>
      <c r="E283" s="2"/>
    </row>
    <row r="284" spans="2:5">
      <c r="B284" s="1"/>
      <c r="C284" s="1"/>
      <c r="D284" s="2"/>
      <c r="E284" s="2"/>
    </row>
    <row r="285" spans="2:5">
      <c r="B285" s="1"/>
      <c r="C285" s="1"/>
      <c r="D285" s="2"/>
      <c r="E285" s="2"/>
    </row>
    <row r="286" spans="2:5">
      <c r="B286" s="1"/>
      <c r="C286" s="1"/>
      <c r="D286" s="2"/>
      <c r="E286" s="2"/>
    </row>
    <row r="287" spans="2:5">
      <c r="B287" s="1"/>
      <c r="C287" s="1"/>
      <c r="D287" s="2"/>
      <c r="E287" s="2"/>
    </row>
    <row r="288" spans="2:5">
      <c r="B288" s="1"/>
      <c r="C288" s="1"/>
      <c r="D288" s="2"/>
      <c r="E288" s="2"/>
    </row>
    <row r="289" spans="2:5">
      <c r="B289" s="1"/>
      <c r="C289" s="1"/>
      <c r="D289" s="2"/>
      <c r="E289" s="2"/>
    </row>
    <row r="290" spans="2:5">
      <c r="B290" s="1"/>
      <c r="C290" s="1"/>
      <c r="D290" s="2"/>
      <c r="E290" s="2"/>
    </row>
    <row r="291" spans="2:5">
      <c r="B291" s="1"/>
      <c r="C291" s="1"/>
      <c r="D291" s="2"/>
      <c r="E291" s="2"/>
    </row>
    <row r="292" spans="2:5">
      <c r="B292" s="1"/>
      <c r="C292" s="1"/>
      <c r="D292" s="2"/>
      <c r="E292" s="2"/>
    </row>
    <row r="293" spans="2:5">
      <c r="B293" s="1"/>
      <c r="C293" s="1"/>
      <c r="D293" s="2"/>
      <c r="E293" s="2"/>
    </row>
    <row r="294" spans="2:5">
      <c r="B294" s="1"/>
      <c r="C294" s="1"/>
      <c r="D294" s="2"/>
      <c r="E294" s="2"/>
    </row>
    <row r="295" spans="2:5">
      <c r="B295" s="1"/>
      <c r="C295" s="1"/>
      <c r="D295" s="2"/>
      <c r="E295" s="2"/>
    </row>
    <row r="296" spans="2:5">
      <c r="B296" s="1"/>
      <c r="C296" s="1"/>
      <c r="D296" s="2"/>
      <c r="E296" s="2"/>
    </row>
    <row r="297" spans="2:5">
      <c r="B297" s="1"/>
      <c r="C297" s="1"/>
      <c r="D297" s="2"/>
      <c r="E297" s="2"/>
    </row>
    <row r="298" spans="2:5">
      <c r="B298" s="1"/>
      <c r="C298" s="1"/>
      <c r="D298" s="2"/>
      <c r="E298" s="2"/>
    </row>
    <row r="299" spans="2:5">
      <c r="B299" s="1"/>
      <c r="C299" s="1"/>
      <c r="D299" s="2"/>
      <c r="E299" s="2"/>
    </row>
    <row r="300" spans="2:5">
      <c r="B300" s="1"/>
      <c r="C300" s="1"/>
      <c r="D300" s="2"/>
      <c r="E300" s="2"/>
    </row>
    <row r="301" spans="2:5">
      <c r="B301" s="1"/>
      <c r="C301" s="1"/>
      <c r="D301" s="2"/>
      <c r="E301" s="2"/>
    </row>
    <row r="302" spans="2:5">
      <c r="B302" s="1"/>
      <c r="C302" s="1"/>
      <c r="D302" s="2"/>
      <c r="E302" s="2"/>
    </row>
    <row r="303" spans="2:5">
      <c r="B303" s="1"/>
      <c r="C303" s="1"/>
      <c r="D303" s="2"/>
      <c r="E303" s="2"/>
    </row>
    <row r="304" spans="2:5">
      <c r="B304" s="1"/>
      <c r="C304" s="1"/>
      <c r="D304" s="2"/>
      <c r="E304" s="2"/>
    </row>
    <row r="305" spans="2:5">
      <c r="B305" s="1"/>
      <c r="C305" s="1"/>
      <c r="D305" s="2"/>
      <c r="E305" s="2"/>
    </row>
    <row r="306" spans="2:5">
      <c r="B306" s="1"/>
      <c r="C306" s="1"/>
      <c r="D306" s="2"/>
      <c r="E306" s="2"/>
    </row>
    <row r="307" spans="2:5">
      <c r="B307" s="1"/>
      <c r="C307" s="1"/>
      <c r="D307" s="2"/>
      <c r="E307" s="2"/>
    </row>
    <row r="308" spans="2:5">
      <c r="B308" s="1"/>
      <c r="C308" s="1"/>
      <c r="D308" s="2"/>
      <c r="E308" s="2"/>
    </row>
    <row r="309" spans="2:5">
      <c r="B309" s="1"/>
      <c r="C309" s="1"/>
      <c r="D309" s="2"/>
      <c r="E309" s="2"/>
    </row>
    <row r="310" spans="2:5">
      <c r="B310" s="1"/>
      <c r="C310" s="1"/>
      <c r="D310" s="2"/>
      <c r="E310" s="2"/>
    </row>
    <row r="311" spans="2:5">
      <c r="B311" s="1"/>
      <c r="C311" s="1"/>
      <c r="D311" s="2"/>
      <c r="E311" s="2"/>
    </row>
    <row r="312" spans="2:5">
      <c r="B312" s="1"/>
      <c r="C312" s="1"/>
      <c r="D312" s="2"/>
      <c r="E312" s="2"/>
    </row>
    <row r="313" spans="2:5">
      <c r="B313" s="1"/>
      <c r="C313" s="1"/>
      <c r="D313" s="2"/>
      <c r="E313" s="2"/>
    </row>
    <row r="314" spans="2:5">
      <c r="B314" s="1"/>
      <c r="C314" s="1"/>
      <c r="D314" s="2"/>
      <c r="E314" s="2"/>
    </row>
    <row r="315" spans="2:5">
      <c r="B315" s="1"/>
      <c r="C315" s="1"/>
      <c r="D315" s="2"/>
      <c r="E315" s="2"/>
    </row>
    <row r="316" spans="2:5">
      <c r="B316" s="1"/>
      <c r="C316" s="1"/>
      <c r="D316" s="2"/>
      <c r="E316" s="2"/>
    </row>
    <row r="317" spans="2:5">
      <c r="B317" s="1"/>
      <c r="C317" s="1"/>
      <c r="D317" s="2"/>
      <c r="E317" s="2"/>
    </row>
    <row r="318" spans="2:5">
      <c r="B318" s="1"/>
      <c r="C318" s="1"/>
      <c r="D318" s="2"/>
      <c r="E318" s="2"/>
    </row>
    <row r="319" spans="2:5">
      <c r="B319" s="1"/>
      <c r="C319" s="1"/>
      <c r="D319" s="2"/>
      <c r="E319" s="2"/>
    </row>
    <row r="320" spans="2:5">
      <c r="B320" s="1"/>
      <c r="C320" s="1"/>
      <c r="D320" s="2"/>
      <c r="E320" s="2"/>
    </row>
    <row r="321" spans="2:5">
      <c r="B321" s="1"/>
      <c r="C321" s="1"/>
      <c r="D321" s="2"/>
      <c r="E321" s="2"/>
    </row>
    <row r="322" spans="2:5">
      <c r="B322" s="1"/>
      <c r="C322" s="1"/>
      <c r="D322" s="2"/>
      <c r="E322" s="2"/>
    </row>
    <row r="323" spans="2:5">
      <c r="B323" s="1"/>
      <c r="C323" s="1"/>
      <c r="D323" s="2"/>
      <c r="E323" s="2"/>
    </row>
    <row r="324" spans="2:5">
      <c r="B324" s="1"/>
      <c r="C324" s="1"/>
      <c r="D324" s="2"/>
      <c r="E324" s="2"/>
    </row>
    <row r="325" spans="2:5">
      <c r="B325" s="1"/>
      <c r="C325" s="1"/>
      <c r="D325" s="2"/>
      <c r="E325" s="2"/>
    </row>
    <row r="326" spans="2:5">
      <c r="B326" s="1"/>
      <c r="C326" s="1"/>
      <c r="D326" s="2"/>
      <c r="E326" s="2"/>
    </row>
    <row r="327" spans="2:5">
      <c r="B327" s="1"/>
      <c r="C327" s="1"/>
      <c r="D327" s="2"/>
      <c r="E327" s="2"/>
    </row>
    <row r="328" spans="2:5">
      <c r="B328" s="1"/>
      <c r="C328" s="1"/>
      <c r="D328" s="2"/>
      <c r="E328" s="2"/>
    </row>
    <row r="329" spans="2:5">
      <c r="B329" s="1"/>
      <c r="C329" s="1"/>
      <c r="D329" s="2"/>
      <c r="E329" s="2"/>
    </row>
    <row r="330" spans="2:5">
      <c r="B330" s="1"/>
      <c r="C330" s="1"/>
      <c r="D330" s="2"/>
      <c r="E330" s="2"/>
    </row>
    <row r="331" spans="2:5">
      <c r="B331" s="1"/>
      <c r="C331" s="1"/>
      <c r="D331" s="2"/>
      <c r="E331" s="2"/>
    </row>
    <row r="332" spans="2:5">
      <c r="B332" s="1"/>
      <c r="C332" s="1"/>
      <c r="D332" s="2"/>
      <c r="E332" s="2"/>
    </row>
    <row r="333" spans="2:5">
      <c r="B333" s="1"/>
      <c r="C333" s="1"/>
      <c r="D333" s="2"/>
      <c r="E333" s="2"/>
    </row>
    <row r="334" spans="2:5">
      <c r="B334" s="1"/>
      <c r="C334" s="1"/>
      <c r="D334" s="2"/>
      <c r="E334" s="2"/>
    </row>
    <row r="335" spans="2:5">
      <c r="B335" s="1"/>
      <c r="C335" s="1"/>
      <c r="D335" s="2"/>
      <c r="E335" s="2"/>
    </row>
    <row r="336" spans="2:5">
      <c r="B336" s="1"/>
      <c r="C336" s="1"/>
      <c r="D336" s="2"/>
      <c r="E336" s="2"/>
    </row>
    <row r="337" spans="2:5">
      <c r="B337" s="1"/>
      <c r="C337" s="1"/>
      <c r="D337" s="2"/>
      <c r="E337" s="2"/>
    </row>
    <row r="338" spans="2:5">
      <c r="B338" s="1"/>
      <c r="C338" s="1"/>
      <c r="D338" s="2"/>
      <c r="E338" s="2"/>
    </row>
    <row r="339" spans="2:5">
      <c r="B339" s="1"/>
      <c r="C339" s="1"/>
      <c r="D339" s="2"/>
      <c r="E339" s="2"/>
    </row>
    <row r="340" spans="2:5">
      <c r="B340" s="1"/>
      <c r="C340" s="1"/>
      <c r="D340" s="2"/>
      <c r="E340" s="2"/>
    </row>
    <row r="341" spans="2:5">
      <c r="B341" s="1"/>
      <c r="C341" s="1"/>
      <c r="D341" s="2"/>
      <c r="E341" s="2"/>
    </row>
    <row r="342" spans="2:5">
      <c r="B342" s="1"/>
      <c r="C342" s="1"/>
      <c r="D342" s="2"/>
      <c r="E342" s="2"/>
    </row>
    <row r="343" spans="2:5">
      <c r="B343" s="1"/>
      <c r="C343" s="1"/>
      <c r="D343" s="2"/>
      <c r="E343" s="2"/>
    </row>
    <row r="344" spans="2:5">
      <c r="B344" s="1"/>
      <c r="C344" s="1"/>
      <c r="D344" s="2"/>
      <c r="E344" s="2"/>
    </row>
    <row r="345" spans="2:5">
      <c r="B345" s="1"/>
      <c r="C345" s="1"/>
      <c r="D345" s="2"/>
      <c r="E345" s="2"/>
    </row>
    <row r="346" spans="2:5">
      <c r="B346" s="1"/>
      <c r="C346" s="1"/>
      <c r="D346" s="2"/>
      <c r="E346" s="2"/>
    </row>
    <row r="347" spans="2:5">
      <c r="B347" s="1"/>
      <c r="C347" s="1"/>
      <c r="D347" s="2"/>
      <c r="E347" s="2"/>
    </row>
    <row r="348" spans="2:5">
      <c r="B348" s="1"/>
      <c r="C348" s="1"/>
      <c r="D348" s="2"/>
      <c r="E348" s="2"/>
    </row>
    <row r="349" spans="2:5">
      <c r="B349" s="1"/>
      <c r="C349" s="1"/>
      <c r="D349" s="2"/>
      <c r="E349" s="2"/>
    </row>
    <row r="350" spans="2:5">
      <c r="B350" s="1"/>
      <c r="C350" s="1"/>
      <c r="D350" s="2"/>
      <c r="E350" s="2"/>
    </row>
    <row r="351" spans="2:5">
      <c r="B351" s="1"/>
      <c r="C351" s="1"/>
      <c r="D351" s="2"/>
      <c r="E351" s="2"/>
    </row>
    <row r="352" spans="2:5">
      <c r="B352" s="1"/>
      <c r="C352" s="1"/>
      <c r="D352" s="2"/>
      <c r="E352" s="2"/>
    </row>
    <row r="353" spans="2:5">
      <c r="B353" s="1"/>
      <c r="C353" s="1"/>
      <c r="D353" s="2"/>
      <c r="E353" s="2"/>
    </row>
    <row r="354" spans="2:5">
      <c r="B354" s="1"/>
      <c r="C354" s="1"/>
      <c r="D354" s="2"/>
      <c r="E354" s="2"/>
    </row>
    <row r="355" spans="2:5">
      <c r="B355" s="1"/>
      <c r="C355" s="1"/>
      <c r="D355" s="2"/>
      <c r="E355" s="2"/>
    </row>
    <row r="356" spans="2:5">
      <c r="B356" s="1"/>
      <c r="C356" s="1"/>
      <c r="D356" s="2"/>
      <c r="E356" s="2"/>
    </row>
    <row r="357" spans="2:5">
      <c r="B357" s="1"/>
      <c r="C357" s="1"/>
      <c r="D357" s="2"/>
      <c r="E357" s="2"/>
    </row>
    <row r="358" spans="2:5">
      <c r="B358" s="1"/>
      <c r="C358" s="1"/>
      <c r="D358" s="2"/>
      <c r="E358" s="2"/>
    </row>
    <row r="359" spans="2:5">
      <c r="B359" s="1"/>
      <c r="C359" s="1"/>
      <c r="D359" s="2"/>
      <c r="E359" s="2"/>
    </row>
    <row r="360" spans="2:5">
      <c r="B360" s="1"/>
      <c r="C360" s="1"/>
      <c r="D360" s="2"/>
      <c r="E360" s="2"/>
    </row>
    <row r="361" spans="2:5">
      <c r="B361" s="1"/>
      <c r="C361" s="1"/>
      <c r="D361" s="2"/>
      <c r="E361" s="2"/>
    </row>
    <row r="362" spans="2:5">
      <c r="B362" s="1"/>
      <c r="C362" s="1"/>
      <c r="D362" s="2"/>
      <c r="E362" s="2"/>
    </row>
    <row r="363" spans="2:5">
      <c r="B363" s="1"/>
      <c r="C363" s="1"/>
      <c r="D363" s="2"/>
      <c r="E363" s="2"/>
    </row>
    <row r="364" spans="2:5">
      <c r="B364" s="1"/>
      <c r="C364" s="1"/>
      <c r="D364" s="2"/>
      <c r="E364" s="2"/>
    </row>
    <row r="365" spans="2:5">
      <c r="B365" s="1"/>
      <c r="C365" s="1"/>
      <c r="D365" s="2"/>
      <c r="E365" s="2"/>
    </row>
    <row r="366" spans="2:5">
      <c r="B366" s="1"/>
      <c r="C366" s="1"/>
      <c r="D366" s="2"/>
      <c r="E366" s="2"/>
    </row>
    <row r="367" spans="2:5">
      <c r="B367" s="1"/>
      <c r="C367" s="1"/>
      <c r="D367" s="2"/>
      <c r="E367" s="2"/>
    </row>
    <row r="368" spans="2:5">
      <c r="B368" s="1"/>
      <c r="C368" s="1"/>
      <c r="D368" s="2"/>
      <c r="E368" s="2"/>
    </row>
    <row r="369" spans="2:5">
      <c r="B369" s="1"/>
      <c r="C369" s="1"/>
      <c r="D369" s="2"/>
      <c r="E369" s="2"/>
    </row>
    <row r="370" spans="2:5">
      <c r="B370" s="1"/>
      <c r="C370" s="1"/>
      <c r="D370" s="2"/>
      <c r="E370" s="2"/>
    </row>
    <row r="371" spans="2:5">
      <c r="B371" s="1"/>
      <c r="C371" s="1"/>
      <c r="D371" s="2"/>
      <c r="E371" s="2"/>
    </row>
    <row r="372" spans="2:5">
      <c r="B372" s="1"/>
      <c r="C372" s="1"/>
      <c r="D372" s="2"/>
      <c r="E372" s="2"/>
    </row>
    <row r="373" spans="2:5">
      <c r="B373" s="1"/>
      <c r="C373" s="1"/>
      <c r="D373" s="2"/>
      <c r="E373" s="2"/>
    </row>
    <row r="374" spans="2:5">
      <c r="B374" s="1"/>
      <c r="C374" s="1"/>
      <c r="D374" s="2"/>
      <c r="E374" s="2"/>
    </row>
    <row r="375" spans="2:5">
      <c r="B375" s="1"/>
      <c r="C375" s="1"/>
      <c r="D375" s="2"/>
      <c r="E375" s="2"/>
    </row>
    <row r="376" spans="2:5">
      <c r="B376" s="1"/>
      <c r="C376" s="1"/>
      <c r="D376" s="2"/>
      <c r="E376" s="2"/>
    </row>
    <row r="377" spans="2:5">
      <c r="B377" s="1"/>
      <c r="C377" s="1"/>
      <c r="D377" s="2"/>
      <c r="E377" s="2"/>
    </row>
    <row r="378" spans="2:5">
      <c r="B378" s="1"/>
      <c r="C378" s="1"/>
      <c r="D378" s="2"/>
      <c r="E378" s="2"/>
    </row>
    <row r="379" spans="2:5">
      <c r="B379" s="1"/>
      <c r="C379" s="1"/>
      <c r="D379" s="2"/>
      <c r="E379" s="2"/>
    </row>
    <row r="380" spans="2:5">
      <c r="B380" s="1"/>
      <c r="C380" s="1"/>
      <c r="D380" s="2"/>
      <c r="E380" s="2"/>
    </row>
    <row r="381" spans="2:5">
      <c r="B381" s="1"/>
      <c r="C381" s="1"/>
      <c r="D381" s="2"/>
      <c r="E381" s="2"/>
    </row>
    <row r="382" spans="2:5">
      <c r="B382" s="1"/>
      <c r="C382" s="1"/>
      <c r="D382" s="2"/>
      <c r="E382" s="2"/>
    </row>
    <row r="383" spans="2:5">
      <c r="B383" s="1"/>
      <c r="C383" s="1"/>
      <c r="D383" s="2"/>
      <c r="E383" s="2"/>
    </row>
    <row r="384" spans="2:5">
      <c r="B384" s="1"/>
      <c r="C384" s="1"/>
      <c r="D384" s="2"/>
      <c r="E384" s="2"/>
    </row>
    <row r="385" spans="2:5">
      <c r="B385" s="1"/>
      <c r="C385" s="1"/>
      <c r="D385" s="2"/>
      <c r="E385" s="2"/>
    </row>
    <row r="386" spans="2:5">
      <c r="B386" s="1"/>
      <c r="C386" s="1"/>
      <c r="D386" s="2"/>
      <c r="E386" s="2"/>
    </row>
    <row r="387" spans="2:5">
      <c r="B387" s="1"/>
      <c r="C387" s="1"/>
      <c r="D387" s="2"/>
      <c r="E387" s="2"/>
    </row>
    <row r="388" spans="2:5">
      <c r="B388" s="1"/>
      <c r="C388" s="1"/>
      <c r="D388" s="2"/>
      <c r="E388" s="2"/>
    </row>
    <row r="389" spans="2:5">
      <c r="B389" s="1"/>
      <c r="C389" s="1"/>
      <c r="D389" s="2"/>
      <c r="E389" s="2"/>
    </row>
    <row r="390" spans="2:5">
      <c r="B390" s="1"/>
      <c r="C390" s="1"/>
      <c r="D390" s="2"/>
      <c r="E390" s="2"/>
    </row>
    <row r="391" spans="2:5">
      <c r="B391" s="1"/>
      <c r="C391" s="1"/>
      <c r="D391" s="2"/>
      <c r="E391" s="2"/>
    </row>
    <row r="392" spans="2:5">
      <c r="B392" s="1"/>
      <c r="C392" s="1"/>
      <c r="D392" s="2"/>
      <c r="E392" s="2"/>
    </row>
    <row r="393" spans="2:5">
      <c r="B393" s="1"/>
      <c r="C393" s="1"/>
      <c r="D393" s="2"/>
      <c r="E393" s="2"/>
    </row>
    <row r="394" spans="2:5">
      <c r="B394" s="1"/>
      <c r="C394" s="1"/>
      <c r="D394" s="2"/>
      <c r="E394" s="2"/>
    </row>
    <row r="395" spans="2:5">
      <c r="B395" s="1"/>
      <c r="C395" s="1"/>
      <c r="D395" s="2"/>
      <c r="E395" s="2"/>
    </row>
    <row r="396" spans="2:5">
      <c r="B396" s="1"/>
      <c r="C396" s="1"/>
      <c r="D396" s="2"/>
      <c r="E396" s="2"/>
    </row>
    <row r="397" spans="2:5">
      <c r="B397" s="1"/>
      <c r="C397" s="1"/>
      <c r="D397" s="2"/>
      <c r="E397" s="2"/>
    </row>
    <row r="398" spans="2:5">
      <c r="B398" s="1"/>
      <c r="C398" s="1"/>
      <c r="D398" s="2"/>
      <c r="E398" s="2"/>
    </row>
    <row r="399" spans="2:5">
      <c r="B399" s="1"/>
      <c r="C399" s="1"/>
      <c r="D399" s="2"/>
      <c r="E399" s="2"/>
    </row>
    <row r="400" spans="2:5">
      <c r="B400" s="1"/>
      <c r="C400" s="1"/>
      <c r="D400" s="2"/>
      <c r="E400" s="2"/>
    </row>
    <row r="401" spans="2:5">
      <c r="B401" s="1"/>
      <c r="C401" s="1"/>
      <c r="D401" s="2"/>
      <c r="E401" s="2"/>
    </row>
    <row r="402" spans="2:5">
      <c r="B402" s="1"/>
      <c r="C402" s="1"/>
      <c r="D402" s="2"/>
      <c r="E402" s="2"/>
    </row>
    <row r="403" spans="2:5">
      <c r="B403" s="1"/>
      <c r="C403" s="1"/>
      <c r="D403" s="2"/>
      <c r="E403" s="2"/>
    </row>
    <row r="404" spans="2:5">
      <c r="B404" s="1"/>
      <c r="C404" s="1"/>
      <c r="D404" s="2"/>
      <c r="E404" s="2"/>
    </row>
    <row r="405" spans="2:5">
      <c r="B405" s="1"/>
      <c r="C405" s="1"/>
      <c r="D405" s="2"/>
      <c r="E405" s="2"/>
    </row>
    <row r="406" spans="2:5">
      <c r="B406" s="1"/>
      <c r="C406" s="1"/>
      <c r="D406" s="2"/>
      <c r="E406" s="2"/>
    </row>
    <row r="407" spans="2:5">
      <c r="B407" s="1"/>
      <c r="C407" s="1"/>
      <c r="D407" s="2"/>
      <c r="E407" s="2"/>
    </row>
    <row r="408" spans="2:5">
      <c r="B408" s="1"/>
      <c r="C408" s="1"/>
      <c r="D408" s="2"/>
      <c r="E408" s="2"/>
    </row>
    <row r="409" spans="2:5">
      <c r="B409" s="1"/>
      <c r="C409" s="1"/>
      <c r="D409" s="2"/>
      <c r="E409" s="2"/>
    </row>
    <row r="410" spans="2:5">
      <c r="B410" s="1"/>
      <c r="C410" s="1"/>
      <c r="D410" s="2"/>
      <c r="E410" s="2"/>
    </row>
    <row r="411" spans="2:5">
      <c r="B411" s="1"/>
      <c r="C411" s="1"/>
      <c r="D411" s="2"/>
      <c r="E411" s="2"/>
    </row>
    <row r="412" spans="2:5">
      <c r="B412" s="1"/>
      <c r="C412" s="1"/>
      <c r="D412" s="2"/>
      <c r="E412" s="2"/>
    </row>
    <row r="413" spans="2:5">
      <c r="B413" s="1"/>
      <c r="C413" s="1"/>
      <c r="D413" s="2"/>
      <c r="E413" s="2"/>
    </row>
    <row r="414" spans="2:5">
      <c r="B414" s="1"/>
      <c r="C414" s="1"/>
      <c r="D414" s="2"/>
      <c r="E414" s="2"/>
    </row>
    <row r="415" spans="2:5">
      <c r="B415" s="1"/>
      <c r="C415" s="1"/>
      <c r="D415" s="2"/>
      <c r="E415" s="2"/>
    </row>
    <row r="416" spans="2:5">
      <c r="B416" s="1"/>
      <c r="C416" s="1"/>
      <c r="D416" s="2"/>
      <c r="E416" s="2"/>
    </row>
    <row r="417" spans="2:5">
      <c r="B417" s="1"/>
      <c r="C417" s="1"/>
      <c r="D417" s="2"/>
      <c r="E417" s="2"/>
    </row>
    <row r="418" spans="2:5">
      <c r="B418" s="1"/>
      <c r="C418" s="1"/>
      <c r="D418" s="2"/>
      <c r="E418" s="2"/>
    </row>
    <row r="419" spans="2:5">
      <c r="B419" s="1"/>
      <c r="C419" s="1"/>
      <c r="D419" s="2"/>
      <c r="E419" s="2"/>
    </row>
    <row r="420" spans="2:5">
      <c r="B420" s="1"/>
      <c r="C420" s="1"/>
      <c r="D420" s="2"/>
      <c r="E420" s="2"/>
    </row>
    <row r="421" spans="2:5">
      <c r="B421" s="1"/>
      <c r="C421" s="1"/>
      <c r="D421" s="2"/>
      <c r="E421" s="2"/>
    </row>
    <row r="422" spans="2:5">
      <c r="B422" s="1"/>
      <c r="C422" s="1"/>
      <c r="D422" s="2"/>
      <c r="E422" s="2"/>
    </row>
    <row r="423" spans="2:5">
      <c r="B423" s="1"/>
      <c r="C423" s="1"/>
      <c r="D423" s="2"/>
      <c r="E423" s="2"/>
    </row>
    <row r="424" spans="2:5">
      <c r="B424" s="1"/>
      <c r="C424" s="1"/>
      <c r="D424" s="2"/>
      <c r="E424" s="2"/>
    </row>
    <row r="425" spans="2:5">
      <c r="B425" s="1"/>
      <c r="C425" s="1"/>
      <c r="D425" s="2"/>
      <c r="E425" s="2"/>
    </row>
    <row r="426" spans="2:5">
      <c r="B426" s="1"/>
      <c r="C426" s="1"/>
      <c r="D426" s="2"/>
      <c r="E426" s="2"/>
    </row>
    <row r="427" spans="2:5">
      <c r="B427" s="1"/>
      <c r="C427" s="1"/>
      <c r="D427" s="2"/>
      <c r="E427" s="2"/>
    </row>
    <row r="428" spans="2:5">
      <c r="B428" s="1"/>
      <c r="C428" s="1"/>
      <c r="D428" s="2"/>
      <c r="E428" s="2"/>
    </row>
    <row r="429" spans="2:5">
      <c r="B429" s="1"/>
      <c r="C429" s="1"/>
      <c r="D429" s="2"/>
      <c r="E429" s="2"/>
    </row>
    <row r="430" spans="2:5">
      <c r="B430" s="1"/>
      <c r="C430" s="1"/>
      <c r="D430" s="2"/>
      <c r="E430" s="2"/>
    </row>
    <row r="431" spans="2:5">
      <c r="B431" s="1"/>
      <c r="C431" s="1"/>
      <c r="D431" s="2"/>
      <c r="E431" s="2"/>
    </row>
    <row r="432" spans="2:5">
      <c r="B432" s="1"/>
      <c r="C432" s="1"/>
      <c r="D432" s="2"/>
      <c r="E432" s="2"/>
    </row>
    <row r="433" spans="2:5">
      <c r="B433" s="1"/>
      <c r="C433" s="1"/>
      <c r="D433" s="2"/>
      <c r="E433" s="2"/>
    </row>
    <row r="434" spans="2:5">
      <c r="B434" s="1"/>
      <c r="C434" s="1"/>
      <c r="D434" s="2"/>
      <c r="E434" s="2"/>
    </row>
    <row r="435" spans="2:5">
      <c r="B435" s="1"/>
      <c r="C435" s="1"/>
      <c r="D435" s="2"/>
      <c r="E435" s="2"/>
    </row>
    <row r="436" spans="2:5">
      <c r="B436" s="1"/>
      <c r="C436" s="1"/>
      <c r="D436" s="2"/>
      <c r="E436" s="2"/>
    </row>
    <row r="437" spans="2:5">
      <c r="B437" s="1"/>
      <c r="C437" s="1"/>
      <c r="D437" s="2"/>
      <c r="E437" s="2"/>
    </row>
    <row r="438" spans="2:5">
      <c r="B438" s="1"/>
      <c r="C438" s="1"/>
      <c r="D438" s="2"/>
      <c r="E438" s="2"/>
    </row>
    <row r="439" spans="2:5">
      <c r="B439" s="1"/>
      <c r="C439" s="1"/>
      <c r="D439" s="2"/>
      <c r="E439" s="2"/>
    </row>
    <row r="440" spans="2:5">
      <c r="B440" s="1"/>
      <c r="C440" s="1"/>
      <c r="D440" s="2"/>
      <c r="E440" s="2"/>
    </row>
    <row r="441" spans="2:5">
      <c r="B441" s="1"/>
      <c r="C441" s="1"/>
      <c r="D441" s="2"/>
      <c r="E441" s="2"/>
    </row>
    <row r="442" spans="2:5">
      <c r="B442" s="1"/>
      <c r="C442" s="1"/>
      <c r="D442" s="2"/>
      <c r="E442" s="2"/>
    </row>
    <row r="443" spans="2:5">
      <c r="B443" s="1"/>
      <c r="C443" s="1"/>
      <c r="D443" s="2"/>
      <c r="E443" s="2"/>
    </row>
    <row r="444" spans="2:5">
      <c r="B444" s="1"/>
      <c r="C444" s="1"/>
      <c r="D444" s="2"/>
      <c r="E444" s="2"/>
    </row>
    <row r="445" spans="2:5">
      <c r="B445" s="1"/>
      <c r="C445" s="1"/>
      <c r="D445" s="2"/>
      <c r="E445" s="2"/>
    </row>
    <row r="446" spans="2:5">
      <c r="B446" s="1"/>
      <c r="C446" s="1"/>
      <c r="D446" s="2"/>
      <c r="E446" s="2"/>
    </row>
    <row r="447" spans="2:5">
      <c r="B447" s="1"/>
      <c r="C447" s="1"/>
      <c r="D447" s="2"/>
      <c r="E447" s="2"/>
    </row>
    <row r="448" spans="2:5">
      <c r="B448" s="1"/>
      <c r="C448" s="1"/>
      <c r="D448" s="2"/>
      <c r="E448" s="2"/>
    </row>
    <row r="449" spans="2:5">
      <c r="B449" s="1"/>
      <c r="C449" s="1"/>
      <c r="D449" s="2"/>
      <c r="E449" s="2"/>
    </row>
    <row r="450" spans="2:5">
      <c r="B450" s="1"/>
      <c r="C450" s="1"/>
      <c r="D450" s="2"/>
      <c r="E450" s="2"/>
    </row>
    <row r="451" spans="2:5">
      <c r="B451" s="1"/>
      <c r="C451" s="1"/>
      <c r="D451" s="2"/>
      <c r="E451" s="2"/>
    </row>
    <row r="452" spans="2:5">
      <c r="B452" s="1"/>
      <c r="C452" s="1"/>
      <c r="D452" s="2"/>
      <c r="E452" s="2"/>
    </row>
    <row r="453" spans="2:5">
      <c r="B453" s="1"/>
      <c r="C453" s="1"/>
      <c r="D453" s="2"/>
      <c r="E453" s="2"/>
    </row>
    <row r="454" spans="2:5">
      <c r="B454" s="1"/>
      <c r="C454" s="1"/>
      <c r="D454" s="2"/>
      <c r="E454" s="2"/>
    </row>
    <row r="455" spans="2:5">
      <c r="B455" s="1"/>
      <c r="C455" s="1"/>
      <c r="D455" s="2"/>
      <c r="E455" s="2"/>
    </row>
    <row r="456" spans="2:5">
      <c r="B456" s="1"/>
      <c r="C456" s="1"/>
      <c r="D456" s="2"/>
      <c r="E456" s="2"/>
    </row>
    <row r="457" spans="2:5">
      <c r="B457" s="1"/>
      <c r="C457" s="1"/>
      <c r="D457" s="2"/>
      <c r="E457" s="2"/>
    </row>
    <row r="458" spans="2:5">
      <c r="B458" s="1"/>
      <c r="C458" s="1"/>
      <c r="D458" s="2"/>
      <c r="E458" s="2"/>
    </row>
    <row r="459" spans="2:5">
      <c r="B459" s="1"/>
      <c r="C459" s="1"/>
      <c r="D459" s="2"/>
      <c r="E459" s="2"/>
    </row>
    <row r="460" spans="2:5">
      <c r="B460" s="1"/>
      <c r="C460" s="1"/>
      <c r="D460" s="2"/>
      <c r="E460" s="2"/>
    </row>
    <row r="461" spans="2:5">
      <c r="B461" s="1"/>
      <c r="C461" s="1"/>
      <c r="D461" s="2"/>
      <c r="E461" s="2"/>
    </row>
    <row r="462" spans="2:5">
      <c r="B462" s="1"/>
      <c r="C462" s="1"/>
      <c r="D462" s="2"/>
      <c r="E462" s="2"/>
    </row>
    <row r="463" spans="2:5">
      <c r="B463" s="1"/>
      <c r="C463" s="1"/>
      <c r="D463" s="2"/>
      <c r="E463" s="2"/>
    </row>
    <row r="464" spans="2:5">
      <c r="B464" s="1"/>
      <c r="C464" s="1"/>
      <c r="D464" s="2"/>
      <c r="E464" s="2"/>
    </row>
    <row r="465" spans="2:5">
      <c r="B465" s="1"/>
      <c r="C465" s="1"/>
      <c r="D465" s="2"/>
      <c r="E465" s="2"/>
    </row>
    <row r="466" spans="2:5">
      <c r="B466" s="1"/>
      <c r="C466" s="1"/>
      <c r="D466" s="2"/>
      <c r="E466" s="2"/>
    </row>
    <row r="467" spans="2:5">
      <c r="B467" s="1"/>
      <c r="C467" s="1"/>
      <c r="D467" s="2"/>
      <c r="E467" s="2"/>
    </row>
    <row r="468" spans="2:5">
      <c r="B468" s="1"/>
      <c r="C468" s="1"/>
      <c r="D468" s="2"/>
      <c r="E468" s="2"/>
    </row>
    <row r="469" spans="2:5">
      <c r="B469" s="1"/>
      <c r="C469" s="1"/>
      <c r="D469" s="2"/>
      <c r="E469" s="2"/>
    </row>
    <row r="470" spans="2:5">
      <c r="B470" s="1"/>
      <c r="C470" s="1"/>
      <c r="D470" s="2"/>
      <c r="E470" s="2"/>
    </row>
    <row r="471" spans="2:5">
      <c r="B471" s="1"/>
      <c r="C471" s="1"/>
      <c r="D471" s="2"/>
      <c r="E471" s="2"/>
    </row>
    <row r="472" spans="2:5">
      <c r="B472" s="1"/>
      <c r="C472" s="1"/>
      <c r="D472" s="2"/>
      <c r="E472" s="2"/>
    </row>
    <row r="473" spans="2:5">
      <c r="B473" s="1"/>
      <c r="C473" s="1"/>
      <c r="D473" s="2"/>
      <c r="E473" s="2"/>
    </row>
    <row r="474" spans="2:5">
      <c r="B474" s="1"/>
      <c r="C474" s="1"/>
      <c r="D474" s="2"/>
      <c r="E474" s="2"/>
    </row>
    <row r="475" spans="2:5">
      <c r="B475" s="1"/>
      <c r="C475" s="1"/>
      <c r="D475" s="2"/>
      <c r="E475" s="2"/>
    </row>
    <row r="476" spans="2:5">
      <c r="B476" s="1"/>
      <c r="C476" s="1"/>
      <c r="D476" s="2"/>
      <c r="E476" s="2"/>
    </row>
    <row r="477" spans="2:5">
      <c r="B477" s="1"/>
      <c r="C477" s="1"/>
      <c r="D477" s="2"/>
      <c r="E477" s="2"/>
    </row>
    <row r="478" spans="2:5">
      <c r="B478" s="1"/>
      <c r="C478" s="1"/>
      <c r="D478" s="2"/>
      <c r="E478" s="2"/>
    </row>
    <row r="479" spans="2:5">
      <c r="B479" s="1"/>
      <c r="C479" s="1"/>
      <c r="D479" s="2"/>
      <c r="E479" s="2"/>
    </row>
    <row r="480" spans="2:5">
      <c r="B480" s="1"/>
      <c r="C480" s="1"/>
      <c r="D480" s="2"/>
      <c r="E480" s="2"/>
    </row>
    <row r="481" spans="2:5">
      <c r="B481" s="1"/>
      <c r="C481" s="1"/>
      <c r="D481" s="2"/>
      <c r="E481" s="2"/>
    </row>
    <row r="482" spans="2:5">
      <c r="B482" s="1"/>
      <c r="C482" s="1"/>
      <c r="D482" s="2"/>
      <c r="E482" s="2"/>
    </row>
    <row r="483" spans="2:5">
      <c r="B483" s="1"/>
      <c r="C483" s="1"/>
      <c r="D483" s="2"/>
      <c r="E483" s="2"/>
    </row>
    <row r="484" spans="2:5">
      <c r="B484" s="1"/>
      <c r="C484" s="1"/>
      <c r="D484" s="2"/>
      <c r="E484" s="2"/>
    </row>
    <row r="485" spans="2:5">
      <c r="B485" s="1"/>
      <c r="C485" s="1"/>
      <c r="D485" s="2"/>
      <c r="E485" s="2"/>
    </row>
    <row r="486" spans="2:5">
      <c r="B486" s="1"/>
      <c r="C486" s="1"/>
      <c r="D486" s="2"/>
      <c r="E486" s="2"/>
    </row>
    <row r="487" spans="2:5">
      <c r="B487" s="1"/>
      <c r="C487" s="1"/>
      <c r="D487" s="2"/>
      <c r="E487" s="2"/>
    </row>
    <row r="488" spans="2:5">
      <c r="B488" s="1"/>
      <c r="C488" s="1"/>
      <c r="D488" s="2"/>
      <c r="E488" s="2"/>
    </row>
    <row r="489" spans="2:5">
      <c r="B489" s="1"/>
      <c r="C489" s="1"/>
      <c r="D489" s="2"/>
      <c r="E489" s="2"/>
    </row>
    <row r="490" spans="2:5">
      <c r="B490" s="1"/>
      <c r="C490" s="1"/>
      <c r="D490" s="2"/>
      <c r="E490" s="2"/>
    </row>
    <row r="491" spans="2:5">
      <c r="B491" s="1"/>
      <c r="C491" s="1"/>
      <c r="D491" s="2"/>
      <c r="E491" s="2"/>
    </row>
    <row r="492" spans="2:5">
      <c r="B492" s="1"/>
      <c r="C492" s="1"/>
      <c r="D492" s="2"/>
      <c r="E492" s="2"/>
    </row>
    <row r="493" spans="2:5">
      <c r="B493" s="1"/>
      <c r="C493" s="1"/>
      <c r="D493" s="2"/>
      <c r="E493" s="2"/>
    </row>
    <row r="494" spans="2:5">
      <c r="B494" s="1"/>
      <c r="C494" s="1"/>
      <c r="D494" s="2"/>
      <c r="E494" s="2"/>
    </row>
    <row r="495" spans="2:5">
      <c r="B495" s="1"/>
      <c r="C495" s="1"/>
      <c r="D495" s="2"/>
      <c r="E495" s="2"/>
    </row>
    <row r="496" spans="2:5">
      <c r="B496" s="1"/>
      <c r="C496" s="1"/>
      <c r="D496" s="2"/>
      <c r="E496" s="2"/>
    </row>
    <row r="497" spans="2:5">
      <c r="B497" s="1"/>
      <c r="C497" s="1"/>
      <c r="D497" s="2"/>
      <c r="E497" s="2"/>
    </row>
    <row r="498" spans="2:5">
      <c r="B498" s="1"/>
      <c r="C498" s="1"/>
      <c r="D498" s="2"/>
      <c r="E498" s="2"/>
    </row>
    <row r="499" spans="2:5">
      <c r="B499" s="1"/>
      <c r="C499" s="1"/>
      <c r="D499" s="2"/>
      <c r="E499" s="2"/>
    </row>
    <row r="500" spans="2:5">
      <c r="B500" s="1"/>
      <c r="C500" s="1"/>
      <c r="D500" s="2"/>
      <c r="E500" s="2"/>
    </row>
    <row r="501" spans="2:5">
      <c r="B501" s="1"/>
      <c r="C501" s="1"/>
      <c r="D501" s="2"/>
      <c r="E501" s="2"/>
    </row>
    <row r="502" spans="2:5">
      <c r="B502" s="1"/>
      <c r="C502" s="1"/>
      <c r="D502" s="2"/>
      <c r="E502" s="2"/>
    </row>
    <row r="503" spans="2:5">
      <c r="B503" s="1"/>
      <c r="C503" s="1"/>
      <c r="D503" s="2"/>
      <c r="E503" s="2"/>
    </row>
    <row r="504" spans="2:5">
      <c r="B504" s="1"/>
      <c r="C504" s="1"/>
      <c r="D504" s="2"/>
      <c r="E504" s="2"/>
    </row>
    <row r="505" spans="2:5">
      <c r="B505" s="1"/>
      <c r="C505" s="1"/>
      <c r="D505" s="2"/>
      <c r="E505" s="2"/>
    </row>
    <row r="506" spans="2:5">
      <c r="B506" s="1"/>
      <c r="C506" s="1"/>
      <c r="D506" s="2"/>
      <c r="E506" s="2"/>
    </row>
    <row r="507" spans="2:5">
      <c r="B507" s="1"/>
      <c r="C507" s="1"/>
      <c r="D507" s="2"/>
      <c r="E507" s="2"/>
    </row>
    <row r="508" spans="2:5">
      <c r="B508" s="1"/>
      <c r="C508" s="1"/>
      <c r="D508" s="2"/>
      <c r="E508" s="2"/>
    </row>
    <row r="509" spans="2:5">
      <c r="B509" s="1"/>
      <c r="C509" s="1"/>
      <c r="D509" s="2"/>
      <c r="E509" s="2"/>
    </row>
    <row r="510" spans="2:5">
      <c r="B510" s="1"/>
      <c r="C510" s="1"/>
      <c r="D510" s="2"/>
      <c r="E510" s="2"/>
    </row>
    <row r="511" spans="2:5">
      <c r="B511" s="1"/>
      <c r="C511" s="1"/>
      <c r="D511" s="2"/>
      <c r="E511" s="2"/>
    </row>
    <row r="512" spans="2:5">
      <c r="B512" s="1"/>
      <c r="C512" s="1"/>
      <c r="D512" s="2"/>
      <c r="E512" s="2"/>
    </row>
    <row r="513" spans="2:5">
      <c r="B513" s="1"/>
      <c r="C513" s="1"/>
      <c r="D513" s="2"/>
      <c r="E513" s="2"/>
    </row>
    <row r="514" spans="2:5">
      <c r="B514" s="1"/>
      <c r="C514" s="1"/>
      <c r="D514" s="2"/>
      <c r="E514" s="2"/>
    </row>
    <row r="515" spans="2:5">
      <c r="B515" s="1"/>
      <c r="C515" s="1"/>
      <c r="D515" s="2"/>
      <c r="E515" s="2"/>
    </row>
    <row r="516" spans="2:5">
      <c r="B516" s="1"/>
      <c r="C516" s="1"/>
      <c r="D516" s="2"/>
      <c r="E516" s="2"/>
    </row>
    <row r="517" spans="2:5">
      <c r="B517" s="1"/>
      <c r="C517" s="1"/>
      <c r="D517" s="2"/>
      <c r="E517" s="2"/>
    </row>
    <row r="518" spans="2:5">
      <c r="B518" s="1"/>
      <c r="C518" s="1"/>
      <c r="D518" s="2"/>
      <c r="E518" s="2"/>
    </row>
    <row r="519" spans="2:5">
      <c r="B519" s="1"/>
      <c r="C519" s="1"/>
      <c r="D519" s="2"/>
      <c r="E519" s="2"/>
    </row>
    <row r="520" spans="2:5">
      <c r="B520" s="1"/>
      <c r="C520" s="1"/>
      <c r="D520" s="2"/>
      <c r="E520" s="2"/>
    </row>
    <row r="521" spans="2:5">
      <c r="B521" s="1"/>
      <c r="C521" s="1"/>
      <c r="D521" s="2"/>
      <c r="E521" s="2"/>
    </row>
    <row r="522" spans="2:5">
      <c r="B522" s="1"/>
      <c r="C522" s="1"/>
      <c r="D522" s="2"/>
      <c r="E522" s="2"/>
    </row>
    <row r="523" spans="2:5">
      <c r="B523" s="1"/>
      <c r="C523" s="1"/>
      <c r="D523" s="2"/>
      <c r="E523" s="2"/>
    </row>
    <row r="524" spans="2:5">
      <c r="B524" s="1"/>
      <c r="C524" s="1"/>
      <c r="D524" s="2"/>
      <c r="E524" s="2"/>
    </row>
    <row r="525" spans="2:5">
      <c r="B525" s="1"/>
      <c r="C525" s="1"/>
      <c r="D525" s="2"/>
      <c r="E525" s="2"/>
    </row>
    <row r="526" spans="2:5">
      <c r="B526" s="1"/>
      <c r="C526" s="1"/>
      <c r="D526" s="2"/>
      <c r="E526" s="2"/>
    </row>
    <row r="527" spans="2:5">
      <c r="B527" s="1"/>
      <c r="C527" s="1"/>
      <c r="D527" s="2"/>
      <c r="E527" s="2"/>
    </row>
    <row r="528" spans="2:5">
      <c r="B528" s="1"/>
      <c r="C528" s="1"/>
      <c r="D528" s="2"/>
      <c r="E528" s="2"/>
    </row>
    <row r="529" spans="2:5">
      <c r="B529" s="1"/>
      <c r="C529" s="1"/>
      <c r="D529" s="2"/>
      <c r="E529" s="2"/>
    </row>
    <row r="530" spans="2:5">
      <c r="B530" s="1"/>
      <c r="C530" s="1"/>
      <c r="D530" s="2"/>
      <c r="E530" s="2"/>
    </row>
    <row r="531" spans="2:5">
      <c r="B531" s="1"/>
      <c r="C531" s="1"/>
      <c r="D531" s="2"/>
      <c r="E531" s="2"/>
    </row>
    <row r="532" spans="2:5">
      <c r="B532" s="1"/>
      <c r="C532" s="1"/>
      <c r="D532" s="2"/>
      <c r="E532" s="2"/>
    </row>
    <row r="533" spans="2:5">
      <c r="B533" s="1"/>
      <c r="C533" s="1"/>
      <c r="D533" s="2"/>
      <c r="E533" s="2"/>
    </row>
    <row r="534" spans="2:5">
      <c r="B534" s="1"/>
      <c r="C534" s="1"/>
      <c r="D534" s="2"/>
      <c r="E534" s="2"/>
    </row>
    <row r="535" spans="2:5">
      <c r="B535" s="1"/>
      <c r="C535" s="1"/>
      <c r="D535" s="2"/>
      <c r="E535" s="2"/>
    </row>
    <row r="536" spans="2:5">
      <c r="B536" s="1"/>
      <c r="C536" s="1"/>
      <c r="D536" s="2"/>
      <c r="E536" s="2"/>
    </row>
    <row r="537" spans="2:5">
      <c r="B537" s="1"/>
      <c r="C537" s="1"/>
      <c r="D537" s="2"/>
      <c r="E537" s="2"/>
    </row>
    <row r="538" spans="2:5">
      <c r="B538" s="1"/>
      <c r="C538" s="1"/>
      <c r="D538" s="2"/>
      <c r="E538" s="2"/>
    </row>
    <row r="539" spans="2:5">
      <c r="B539" s="1"/>
      <c r="C539" s="1"/>
      <c r="D539" s="2"/>
      <c r="E539" s="2"/>
    </row>
    <row r="540" spans="2:5">
      <c r="B540" s="1"/>
      <c r="C540" s="1"/>
      <c r="D540" s="2"/>
      <c r="E540" s="2"/>
    </row>
    <row r="541" spans="2:5">
      <c r="B541" s="1"/>
      <c r="C541" s="1"/>
      <c r="D541" s="2"/>
      <c r="E541" s="2"/>
    </row>
    <row r="542" spans="2:5">
      <c r="B542" s="1"/>
      <c r="C542" s="1"/>
      <c r="D542" s="2"/>
      <c r="E542" s="2"/>
    </row>
    <row r="543" spans="2:5">
      <c r="B543" s="1"/>
      <c r="C543" s="1"/>
      <c r="D543" s="2"/>
      <c r="E543" s="2"/>
    </row>
    <row r="544" spans="2:5">
      <c r="B544" s="1"/>
      <c r="C544" s="1"/>
      <c r="D544" s="2"/>
      <c r="E544" s="2"/>
    </row>
    <row r="545" spans="2:5">
      <c r="B545" s="1"/>
      <c r="C545" s="1"/>
      <c r="D545" s="2"/>
      <c r="E545" s="2"/>
    </row>
    <row r="546" spans="2:5">
      <c r="B546" s="1"/>
      <c r="C546" s="1"/>
      <c r="D546" s="2"/>
      <c r="E546" s="2"/>
    </row>
    <row r="547" spans="2:5">
      <c r="B547" s="1"/>
      <c r="C547" s="1"/>
      <c r="D547" s="2"/>
      <c r="E547" s="2"/>
    </row>
    <row r="548" spans="2:5">
      <c r="B548" s="1"/>
      <c r="C548" s="1"/>
      <c r="D548" s="2"/>
      <c r="E548" s="2"/>
    </row>
    <row r="549" spans="2:5">
      <c r="B549" s="1"/>
      <c r="C549" s="1"/>
      <c r="D549" s="2"/>
      <c r="E549" s="2"/>
    </row>
    <row r="550" spans="2:5">
      <c r="B550" s="1"/>
      <c r="C550" s="1"/>
      <c r="D550" s="2"/>
      <c r="E550" s="2"/>
    </row>
    <row r="551" spans="2:5">
      <c r="B551" s="1"/>
      <c r="C551" s="1"/>
      <c r="D551" s="2"/>
      <c r="E551" s="2"/>
    </row>
    <row r="552" spans="2:5">
      <c r="B552" s="1"/>
      <c r="C552" s="1"/>
      <c r="D552" s="2"/>
      <c r="E552" s="2"/>
    </row>
    <row r="553" spans="2:5">
      <c r="B553" s="1"/>
      <c r="C553" s="1"/>
      <c r="D553" s="2"/>
      <c r="E553" s="2"/>
    </row>
    <row r="554" spans="2:5">
      <c r="B554" s="1"/>
      <c r="C554" s="1"/>
      <c r="D554" s="2"/>
      <c r="E554" s="2"/>
    </row>
    <row r="555" spans="2:5">
      <c r="B555" s="1"/>
      <c r="C555" s="1"/>
      <c r="D555" s="2"/>
      <c r="E555" s="2"/>
    </row>
    <row r="556" spans="2:5">
      <c r="B556" s="1"/>
      <c r="C556" s="1"/>
      <c r="D556" s="2"/>
      <c r="E556" s="2"/>
    </row>
    <row r="557" spans="2:5">
      <c r="B557" s="1"/>
      <c r="C557" s="1"/>
      <c r="D557" s="2"/>
      <c r="E557" s="2"/>
    </row>
    <row r="558" spans="2:5">
      <c r="B558" s="1"/>
      <c r="C558" s="1"/>
      <c r="D558" s="2"/>
      <c r="E558" s="2"/>
    </row>
    <row r="559" spans="2:5">
      <c r="B559" s="1"/>
      <c r="C559" s="1"/>
      <c r="D559" s="2"/>
      <c r="E559" s="2"/>
    </row>
    <row r="560" spans="2:5">
      <c r="B560" s="1"/>
      <c r="C560" s="1"/>
      <c r="D560" s="2"/>
      <c r="E560" s="2"/>
    </row>
    <row r="561" spans="2:5">
      <c r="B561" s="1"/>
      <c r="C561" s="1"/>
      <c r="D561" s="2"/>
      <c r="E561" s="2"/>
    </row>
    <row r="562" spans="2:5">
      <c r="B562" s="1"/>
      <c r="C562" s="1"/>
      <c r="D562" s="2"/>
      <c r="E562" s="2"/>
    </row>
    <row r="563" spans="2:5">
      <c r="B563" s="1"/>
      <c r="C563" s="1"/>
      <c r="D563" s="2"/>
      <c r="E563" s="2"/>
    </row>
    <row r="564" spans="2:5">
      <c r="B564" s="1"/>
      <c r="C564" s="1"/>
      <c r="D564" s="2"/>
      <c r="E564" s="2"/>
    </row>
    <row r="565" spans="2:5">
      <c r="B565" s="1"/>
      <c r="C565" s="1"/>
      <c r="D565" s="2"/>
      <c r="E565" s="2"/>
    </row>
    <row r="566" spans="2:5">
      <c r="B566" s="1"/>
      <c r="C566" s="1"/>
      <c r="D566" s="2"/>
      <c r="E566" s="2"/>
    </row>
    <row r="567" spans="2:5">
      <c r="B567" s="1"/>
      <c r="C567" s="1"/>
      <c r="D567" s="2"/>
      <c r="E567" s="2"/>
    </row>
    <row r="568" spans="2:5">
      <c r="B568" s="1"/>
      <c r="C568" s="1"/>
      <c r="D568" s="2"/>
      <c r="E568" s="2"/>
    </row>
    <row r="569" spans="2:5">
      <c r="B569" s="1"/>
      <c r="C569" s="1"/>
      <c r="D569" s="2"/>
      <c r="E569" s="2"/>
    </row>
    <row r="570" spans="2:5">
      <c r="B570" s="1"/>
      <c r="C570" s="1"/>
      <c r="D570" s="2"/>
      <c r="E570" s="2"/>
    </row>
    <row r="571" spans="2:5">
      <c r="B571" s="1"/>
      <c r="C571" s="1"/>
      <c r="D571" s="2"/>
      <c r="E571" s="2"/>
    </row>
    <row r="572" spans="2:5">
      <c r="B572" s="1"/>
      <c r="C572" s="1"/>
      <c r="D572" s="2"/>
      <c r="E572" s="2"/>
    </row>
    <row r="573" spans="2:5">
      <c r="B573" s="1"/>
      <c r="C573" s="1"/>
      <c r="D573" s="2"/>
      <c r="E573" s="2"/>
    </row>
    <row r="574" spans="2:5">
      <c r="B574" s="1"/>
      <c r="C574" s="1"/>
      <c r="D574" s="2"/>
      <c r="E574" s="2"/>
    </row>
    <row r="575" spans="2:5">
      <c r="B575" s="1"/>
      <c r="C575" s="1"/>
      <c r="D575" s="2"/>
      <c r="E575" s="2"/>
    </row>
    <row r="576" spans="2:5">
      <c r="B576" s="1"/>
      <c r="C576" s="1"/>
      <c r="D576" s="2"/>
      <c r="E576" s="2"/>
    </row>
    <row r="577" spans="2:5">
      <c r="B577" s="1"/>
      <c r="C577" s="1"/>
      <c r="D577" s="2"/>
      <c r="E577" s="2"/>
    </row>
    <row r="578" spans="2:5">
      <c r="B578" s="1"/>
      <c r="C578" s="1"/>
      <c r="D578" s="2"/>
      <c r="E578" s="2"/>
    </row>
    <row r="579" spans="2:5">
      <c r="B579" s="1"/>
      <c r="C579" s="1"/>
      <c r="D579" s="2"/>
      <c r="E579" s="2"/>
    </row>
    <row r="580" spans="2:5">
      <c r="B580" s="1"/>
      <c r="C580" s="1"/>
      <c r="D580" s="2"/>
      <c r="E580" s="2"/>
    </row>
    <row r="581" spans="2:5">
      <c r="B581" s="1"/>
      <c r="C581" s="1"/>
      <c r="D581" s="2"/>
      <c r="E581" s="2"/>
    </row>
    <row r="582" spans="2:5">
      <c r="B582" s="1"/>
      <c r="C582" s="1"/>
      <c r="D582" s="2"/>
      <c r="E582" s="2"/>
    </row>
    <row r="583" spans="2:5">
      <c r="B583" s="1"/>
      <c r="C583" s="1"/>
      <c r="D583" s="2"/>
      <c r="E583" s="2"/>
    </row>
    <row r="584" spans="2:5">
      <c r="B584" s="1"/>
      <c r="C584" s="1"/>
      <c r="D584" s="2"/>
      <c r="E584" s="2"/>
    </row>
    <row r="585" spans="2:5">
      <c r="B585" s="1"/>
      <c r="C585" s="1"/>
      <c r="D585" s="2"/>
      <c r="E585" s="2"/>
    </row>
    <row r="586" spans="2:5">
      <c r="B586" s="1"/>
      <c r="C586" s="1"/>
      <c r="D586" s="2"/>
      <c r="E586" s="2"/>
    </row>
    <row r="587" spans="2:5">
      <c r="B587" s="1"/>
      <c r="C587" s="1"/>
      <c r="D587" s="2"/>
      <c r="E587" s="2"/>
    </row>
    <row r="588" spans="2:5">
      <c r="B588" s="1"/>
      <c r="C588" s="1"/>
      <c r="D588" s="2"/>
      <c r="E588" s="2"/>
    </row>
    <row r="589" spans="2:5">
      <c r="B589" s="1"/>
      <c r="C589" s="1"/>
      <c r="D589" s="2"/>
      <c r="E589" s="2"/>
    </row>
    <row r="590" spans="2:5">
      <c r="B590" s="1"/>
      <c r="C590" s="1"/>
      <c r="D590" s="2"/>
      <c r="E590" s="2"/>
    </row>
    <row r="591" spans="2:5">
      <c r="B591" s="1"/>
      <c r="C591" s="1"/>
      <c r="D591" s="2"/>
      <c r="E591" s="2"/>
    </row>
    <row r="592" spans="2:5">
      <c r="B592" s="1"/>
      <c r="C592" s="1"/>
      <c r="D592" s="2"/>
      <c r="E592" s="2"/>
    </row>
    <row r="593" spans="2:5">
      <c r="B593" s="1"/>
      <c r="C593" s="1"/>
      <c r="D593" s="2"/>
      <c r="E593" s="2"/>
    </row>
    <row r="594" spans="2:5">
      <c r="B594" s="1"/>
      <c r="C594" s="1"/>
      <c r="D594" s="2"/>
      <c r="E594" s="2"/>
    </row>
    <row r="595" spans="2:5">
      <c r="B595" s="1"/>
      <c r="C595" s="1"/>
      <c r="D595" s="2"/>
      <c r="E595" s="2"/>
    </row>
    <row r="596" spans="2:5">
      <c r="B596" s="1"/>
      <c r="C596" s="1"/>
      <c r="D596" s="2"/>
      <c r="E596" s="2"/>
    </row>
    <row r="597" spans="2:5">
      <c r="B597" s="1"/>
      <c r="C597" s="1"/>
      <c r="D597" s="2"/>
      <c r="E597" s="2"/>
    </row>
    <row r="598" spans="2:5">
      <c r="B598" s="1"/>
      <c r="C598" s="1"/>
      <c r="D598" s="2"/>
      <c r="E598" s="2"/>
    </row>
    <row r="599" spans="2:5">
      <c r="B599" s="1"/>
      <c r="C599" s="1"/>
      <c r="D599" s="2"/>
      <c r="E599" s="2"/>
    </row>
    <row r="600" spans="2:5">
      <c r="B600" s="1"/>
      <c r="C600" s="1"/>
      <c r="D600" s="2"/>
      <c r="E600" s="2"/>
    </row>
    <row r="601" spans="2:5">
      <c r="B601" s="1"/>
      <c r="C601" s="1"/>
      <c r="D601" s="2"/>
      <c r="E601" s="2"/>
    </row>
    <row r="602" spans="2:5">
      <c r="B602" s="1"/>
      <c r="C602" s="1"/>
      <c r="D602" s="2"/>
      <c r="E602" s="2"/>
    </row>
    <row r="603" spans="2:5">
      <c r="B603" s="1"/>
      <c r="C603" s="1"/>
      <c r="D603" s="2"/>
      <c r="E603" s="2"/>
    </row>
    <row r="604" spans="2:5">
      <c r="B604" s="1"/>
      <c r="C604" s="1"/>
      <c r="D604" s="2"/>
      <c r="E604" s="2"/>
    </row>
    <row r="605" spans="2:5">
      <c r="B605" s="1"/>
      <c r="C605" s="1"/>
      <c r="D605" s="2"/>
      <c r="E605" s="2"/>
    </row>
    <row r="606" spans="2:5">
      <c r="B606" s="1"/>
      <c r="C606" s="1"/>
      <c r="D606" s="2"/>
      <c r="E606" s="2"/>
    </row>
    <row r="607" spans="2:5">
      <c r="B607" s="1"/>
      <c r="C607" s="1"/>
      <c r="D607" s="2"/>
      <c r="E607" s="2"/>
    </row>
    <row r="608" spans="2:5">
      <c r="B608" s="1"/>
      <c r="C608" s="1"/>
      <c r="D608" s="2"/>
      <c r="E608" s="2"/>
    </row>
    <row r="609" spans="2:5">
      <c r="B609" s="1"/>
      <c r="C609" s="1"/>
      <c r="D609" s="2"/>
      <c r="E609" s="2"/>
    </row>
    <row r="610" spans="2:5">
      <c r="B610" s="1"/>
      <c r="C610" s="1"/>
      <c r="D610" s="2"/>
      <c r="E610" s="2"/>
    </row>
    <row r="611" spans="2:5">
      <c r="B611" s="1"/>
      <c r="C611" s="1"/>
      <c r="D611" s="2"/>
      <c r="E611" s="2"/>
    </row>
    <row r="612" spans="2:5">
      <c r="B612" s="1"/>
      <c r="C612" s="1"/>
      <c r="D612" s="2"/>
      <c r="E612" s="2"/>
    </row>
    <row r="613" spans="2:5">
      <c r="B613" s="1"/>
      <c r="C613" s="1"/>
      <c r="D613" s="2"/>
      <c r="E613" s="2"/>
    </row>
    <row r="614" spans="2:5">
      <c r="B614" s="1"/>
      <c r="C614" s="1"/>
      <c r="D614" s="2"/>
      <c r="E614" s="2"/>
    </row>
    <row r="615" spans="2:5">
      <c r="B615" s="1"/>
      <c r="C615" s="1"/>
      <c r="D615" s="2"/>
      <c r="E615" s="2"/>
    </row>
    <row r="616" spans="2:5">
      <c r="B616" s="1"/>
      <c r="C616" s="1"/>
      <c r="D616" s="2"/>
      <c r="E616" s="2"/>
    </row>
    <row r="617" spans="2:5">
      <c r="B617" s="1"/>
      <c r="C617" s="1"/>
      <c r="D617" s="2"/>
      <c r="E617" s="2"/>
    </row>
    <row r="618" spans="2:5">
      <c r="B618" s="1"/>
      <c r="C618" s="1"/>
      <c r="D618" s="2"/>
      <c r="E618" s="2"/>
    </row>
    <row r="619" spans="2:5">
      <c r="B619" s="1"/>
      <c r="C619" s="1"/>
      <c r="D619" s="2"/>
      <c r="E619" s="2"/>
    </row>
    <row r="620" spans="2:5">
      <c r="B620" s="1"/>
      <c r="C620" s="1"/>
      <c r="D620" s="2"/>
      <c r="E620" s="2"/>
    </row>
    <row r="621" spans="2:5">
      <c r="B621" s="1"/>
      <c r="C621" s="1"/>
      <c r="D621" s="2"/>
      <c r="E621" s="2"/>
    </row>
    <row r="622" spans="2:5">
      <c r="B622" s="1"/>
      <c r="C622" s="1"/>
      <c r="D622" s="2"/>
      <c r="E622" s="2"/>
    </row>
    <row r="623" spans="2:5">
      <c r="B623" s="1"/>
      <c r="C623" s="1"/>
      <c r="D623" s="2"/>
      <c r="E623" s="2"/>
    </row>
    <row r="624" spans="2:5">
      <c r="B624" s="1"/>
      <c r="C624" s="1"/>
      <c r="D624" s="2"/>
      <c r="E624" s="2"/>
    </row>
    <row r="625" spans="2:5">
      <c r="B625" s="1"/>
      <c r="C625" s="1"/>
      <c r="D625" s="2"/>
      <c r="E625" s="2"/>
    </row>
    <row r="626" spans="2:5">
      <c r="B626" s="1"/>
      <c r="C626" s="1"/>
      <c r="D626" s="2"/>
      <c r="E626" s="2"/>
    </row>
    <row r="627" spans="2:5">
      <c r="B627" s="1"/>
      <c r="C627" s="1"/>
      <c r="D627" s="2"/>
      <c r="E627" s="2"/>
    </row>
    <row r="628" spans="2:5">
      <c r="B628" s="1"/>
      <c r="C628" s="1"/>
      <c r="D628" s="2"/>
      <c r="E628" s="2"/>
    </row>
    <row r="629" spans="2:5">
      <c r="B629" s="1"/>
      <c r="C629" s="1"/>
      <c r="D629" s="2"/>
      <c r="E629" s="2"/>
    </row>
    <row r="630" spans="2:5">
      <c r="B630" s="1"/>
      <c r="C630" s="1"/>
      <c r="D630" s="2"/>
      <c r="E630" s="2"/>
    </row>
    <row r="631" spans="2:5">
      <c r="B631" s="1"/>
      <c r="C631" s="1"/>
      <c r="D631" s="2"/>
      <c r="E631" s="2"/>
    </row>
    <row r="632" spans="2:5">
      <c r="B632" s="1"/>
      <c r="C632" s="1"/>
      <c r="D632" s="2"/>
      <c r="E632" s="2"/>
    </row>
    <row r="633" spans="2:5">
      <c r="B633" s="1"/>
      <c r="C633" s="1"/>
      <c r="D633" s="2"/>
      <c r="E633" s="2"/>
    </row>
    <row r="634" spans="2:5">
      <c r="B634" s="1"/>
      <c r="C634" s="1"/>
      <c r="D634" s="2"/>
      <c r="E634" s="2"/>
    </row>
    <row r="635" spans="2:5">
      <c r="B635" s="1"/>
      <c r="C635" s="1"/>
      <c r="D635" s="2"/>
      <c r="E635" s="2"/>
    </row>
    <row r="636" spans="2:5">
      <c r="B636" s="1"/>
      <c r="C636" s="1"/>
      <c r="D636" s="2"/>
      <c r="E636" s="2"/>
    </row>
    <row r="637" spans="2:5">
      <c r="B637" s="1"/>
      <c r="C637" s="1"/>
      <c r="D637" s="2"/>
      <c r="E637" s="2"/>
    </row>
    <row r="638" spans="2:5">
      <c r="B638" s="1"/>
      <c r="C638" s="1"/>
      <c r="D638" s="2"/>
      <c r="E638" s="2"/>
    </row>
    <row r="639" spans="2:5">
      <c r="B639" s="1"/>
      <c r="C639" s="1"/>
      <c r="D639" s="2"/>
      <c r="E639" s="2"/>
    </row>
    <row r="640" spans="2:5">
      <c r="B640" s="1"/>
      <c r="C640" s="1"/>
      <c r="D640" s="2"/>
      <c r="E640" s="2"/>
    </row>
    <row r="641" spans="2:5">
      <c r="B641" s="1"/>
      <c r="C641" s="1"/>
      <c r="D641" s="2"/>
      <c r="E641" s="2"/>
    </row>
    <row r="642" spans="2:5">
      <c r="B642" s="1"/>
      <c r="C642" s="1"/>
      <c r="D642" s="2"/>
      <c r="E642" s="2"/>
    </row>
    <row r="643" spans="2:5">
      <c r="B643" s="1"/>
      <c r="C643" s="1"/>
      <c r="D643" s="2"/>
      <c r="E643" s="2"/>
    </row>
    <row r="644" spans="2:5">
      <c r="B644" s="1"/>
      <c r="C644" s="1"/>
      <c r="D644" s="2"/>
      <c r="E644" s="2"/>
    </row>
    <row r="645" spans="2:5">
      <c r="B645" s="1"/>
      <c r="C645" s="1"/>
      <c r="D645" s="2"/>
      <c r="E645" s="2"/>
    </row>
    <row r="646" spans="2:5">
      <c r="B646" s="1"/>
      <c r="C646" s="1"/>
      <c r="D646" s="2"/>
      <c r="E646" s="2"/>
    </row>
    <row r="647" spans="2:5">
      <c r="B647" s="1"/>
      <c r="C647" s="1"/>
      <c r="D647" s="2"/>
      <c r="E647" s="2"/>
    </row>
    <row r="648" spans="2:5">
      <c r="B648" s="1"/>
      <c r="C648" s="1"/>
      <c r="D648" s="2"/>
      <c r="E648" s="2"/>
    </row>
    <row r="649" spans="2:5">
      <c r="B649" s="1"/>
      <c r="C649" s="1"/>
      <c r="D649" s="2"/>
      <c r="E649" s="2"/>
    </row>
    <row r="650" spans="2:5">
      <c r="B650" s="1"/>
      <c r="C650" s="1"/>
      <c r="D650" s="2"/>
      <c r="E650" s="2"/>
    </row>
    <row r="651" spans="2:5">
      <c r="B651" s="1"/>
      <c r="C651" s="1"/>
      <c r="D651" s="2"/>
      <c r="E651" s="2"/>
    </row>
    <row r="652" spans="2:5">
      <c r="B652" s="1"/>
      <c r="C652" s="1"/>
      <c r="D652" s="2"/>
      <c r="E652" s="2"/>
    </row>
    <row r="653" spans="2:5">
      <c r="B653" s="1"/>
      <c r="C653" s="1"/>
      <c r="D653" s="2"/>
      <c r="E653" s="2"/>
    </row>
    <row r="654" spans="2:5">
      <c r="B654" s="1"/>
      <c r="C654" s="1"/>
      <c r="D654" s="2"/>
      <c r="E654" s="2"/>
    </row>
    <row r="655" spans="2:5">
      <c r="B655" s="1"/>
      <c r="C655" s="1"/>
      <c r="D655" s="2"/>
      <c r="E655" s="2"/>
    </row>
    <row r="656" spans="2:5">
      <c r="B656" s="1"/>
      <c r="C656" s="1"/>
      <c r="D656" s="2"/>
      <c r="E656" s="2"/>
    </row>
    <row r="657" spans="2:5">
      <c r="B657" s="1"/>
      <c r="C657" s="1"/>
      <c r="D657" s="2"/>
      <c r="E657" s="2"/>
    </row>
    <row r="658" spans="2:5">
      <c r="B658" s="1"/>
      <c r="C658" s="1"/>
      <c r="D658" s="2"/>
      <c r="E658" s="2"/>
    </row>
    <row r="659" spans="2:5">
      <c r="B659" s="1"/>
      <c r="C659" s="1"/>
      <c r="D659" s="2"/>
      <c r="E659" s="2"/>
    </row>
    <row r="660" spans="2:5">
      <c r="B660" s="1"/>
      <c r="C660" s="1"/>
      <c r="D660" s="2"/>
      <c r="E660" s="2"/>
    </row>
    <row r="661" spans="2:5">
      <c r="B661" s="1"/>
      <c r="C661" s="1"/>
      <c r="D661" s="2"/>
      <c r="E661" s="2"/>
    </row>
    <row r="662" spans="2:5">
      <c r="B662" s="1"/>
      <c r="C662" s="1"/>
      <c r="D662" s="2"/>
      <c r="E662" s="2"/>
    </row>
    <row r="663" spans="2:5">
      <c r="B663" s="1"/>
      <c r="C663" s="1"/>
      <c r="D663" s="2"/>
      <c r="E663" s="2"/>
    </row>
    <row r="664" spans="2:5">
      <c r="B664" s="1"/>
      <c r="C664" s="1"/>
      <c r="D664" s="2"/>
      <c r="E664" s="2"/>
    </row>
    <row r="665" spans="2:5">
      <c r="B665" s="1"/>
      <c r="C665" s="1"/>
      <c r="D665" s="2"/>
      <c r="E665" s="2"/>
    </row>
    <row r="666" spans="2:5">
      <c r="B666" s="1"/>
      <c r="C666" s="1"/>
      <c r="D666" s="2"/>
      <c r="E666" s="2"/>
    </row>
    <row r="667" spans="2:5">
      <c r="B667" s="1"/>
      <c r="C667" s="1"/>
      <c r="D667" s="2"/>
      <c r="E667" s="2"/>
    </row>
    <row r="668" spans="2:5">
      <c r="B668" s="1"/>
      <c r="C668" s="1"/>
      <c r="D668" s="2"/>
      <c r="E668" s="2"/>
    </row>
    <row r="669" spans="2:5">
      <c r="B669" s="1"/>
      <c r="C669" s="1"/>
      <c r="D669" s="2"/>
      <c r="E669" s="2"/>
    </row>
    <row r="670" spans="2:5">
      <c r="B670" s="1"/>
      <c r="C670" s="1"/>
      <c r="D670" s="2"/>
      <c r="E670" s="2"/>
    </row>
    <row r="671" spans="2:5">
      <c r="B671" s="1"/>
      <c r="C671" s="1"/>
      <c r="D671" s="2"/>
      <c r="E671" s="2"/>
    </row>
    <row r="672" spans="2:5">
      <c r="B672" s="1"/>
      <c r="C672" s="1"/>
      <c r="D672" s="2"/>
      <c r="E672" s="2"/>
    </row>
    <row r="673" spans="2:5">
      <c r="B673" s="1"/>
      <c r="C673" s="1"/>
      <c r="D673" s="2"/>
      <c r="E673" s="2"/>
    </row>
    <row r="674" spans="2:5">
      <c r="B674" s="1"/>
      <c r="C674" s="1"/>
      <c r="D674" s="2"/>
      <c r="E674" s="2"/>
    </row>
    <row r="675" spans="2:5">
      <c r="B675" s="1"/>
      <c r="C675" s="1"/>
      <c r="D675" s="2"/>
      <c r="E675" s="2"/>
    </row>
    <row r="676" spans="2:5">
      <c r="B676" s="1"/>
      <c r="C676" s="1"/>
      <c r="D676" s="2"/>
      <c r="E676" s="2"/>
    </row>
    <row r="677" spans="2:5">
      <c r="B677" s="1"/>
      <c r="C677" s="1"/>
      <c r="D677" s="2"/>
      <c r="E677" s="2"/>
    </row>
    <row r="678" spans="2:5">
      <c r="B678" s="1"/>
      <c r="C678" s="1"/>
      <c r="D678" s="2"/>
      <c r="E678" s="2"/>
    </row>
    <row r="679" spans="2:5">
      <c r="B679" s="1"/>
      <c r="C679" s="1"/>
      <c r="D679" s="2"/>
      <c r="E679" s="2"/>
    </row>
    <row r="680" spans="2:5">
      <c r="B680" s="1"/>
      <c r="C680" s="1"/>
      <c r="D680" s="2"/>
      <c r="E680" s="2"/>
    </row>
    <row r="681" spans="2:5">
      <c r="B681" s="1"/>
      <c r="C681" s="1"/>
      <c r="D681" s="2"/>
      <c r="E681" s="2"/>
    </row>
    <row r="682" spans="2:5">
      <c r="B682" s="1"/>
      <c r="C682" s="1"/>
      <c r="D682" s="2"/>
      <c r="E682" s="2"/>
    </row>
    <row r="683" spans="2:5">
      <c r="B683" s="1"/>
      <c r="C683" s="1"/>
      <c r="D683" s="2"/>
      <c r="E683" s="2"/>
    </row>
    <row r="684" spans="2:5">
      <c r="B684" s="1"/>
      <c r="C684" s="1"/>
      <c r="D684" s="2"/>
      <c r="E684" s="2"/>
    </row>
    <row r="685" spans="2:5">
      <c r="B685" s="1"/>
      <c r="C685" s="1"/>
      <c r="D685" s="2"/>
      <c r="E685" s="2"/>
    </row>
    <row r="686" spans="2:5">
      <c r="B686" s="1"/>
      <c r="C686" s="1"/>
      <c r="D686" s="2"/>
      <c r="E686" s="2"/>
    </row>
    <row r="687" spans="2:5">
      <c r="B687" s="1"/>
      <c r="C687" s="1"/>
      <c r="D687" s="2"/>
      <c r="E687" s="2"/>
    </row>
    <row r="688" spans="2:5">
      <c r="B688" s="1"/>
      <c r="C688" s="1"/>
      <c r="D688" s="2"/>
      <c r="E688" s="2"/>
    </row>
    <row r="689" spans="2:5">
      <c r="B689" s="1"/>
      <c r="C689" s="1"/>
      <c r="D689" s="2"/>
      <c r="E689" s="2"/>
    </row>
    <row r="690" spans="2:5">
      <c r="B690" s="1"/>
      <c r="C690" s="1"/>
      <c r="D690" s="2"/>
      <c r="E690" s="2"/>
    </row>
    <row r="691" spans="2:5">
      <c r="B691" s="1"/>
      <c r="C691" s="1"/>
      <c r="D691" s="2"/>
      <c r="E691" s="2"/>
    </row>
    <row r="692" spans="2:5">
      <c r="B692" s="1"/>
      <c r="C692" s="1"/>
      <c r="D692" s="2"/>
      <c r="E692" s="2"/>
    </row>
    <row r="693" spans="2:5">
      <c r="B693" s="1"/>
      <c r="C693" s="1"/>
      <c r="D693" s="2"/>
      <c r="E693" s="2"/>
    </row>
    <row r="694" spans="2:5">
      <c r="B694" s="1"/>
      <c r="C694" s="1"/>
      <c r="D694" s="2"/>
      <c r="E694" s="2"/>
    </row>
    <row r="695" spans="2:5">
      <c r="B695" s="1"/>
      <c r="C695" s="1"/>
      <c r="D695" s="2"/>
      <c r="E695" s="2"/>
    </row>
    <row r="696" spans="2:5">
      <c r="B696" s="1"/>
      <c r="C696" s="1"/>
      <c r="D696" s="2"/>
      <c r="E696" s="2"/>
    </row>
    <row r="697" spans="2:5">
      <c r="B697" s="1"/>
      <c r="C697" s="1"/>
      <c r="D697" s="2"/>
      <c r="E697" s="2"/>
    </row>
    <row r="698" spans="2:5">
      <c r="B698" s="1"/>
      <c r="C698" s="1"/>
      <c r="D698" s="2"/>
      <c r="E698" s="2"/>
    </row>
    <row r="699" spans="2:5">
      <c r="B699" s="1"/>
      <c r="C699" s="1"/>
      <c r="D699" s="2"/>
      <c r="E699" s="2"/>
    </row>
    <row r="700" spans="2:5">
      <c r="B700" s="1"/>
      <c r="C700" s="1"/>
      <c r="D700" s="2"/>
      <c r="E700" s="2"/>
    </row>
    <row r="701" spans="2:5">
      <c r="B701" s="1"/>
      <c r="C701" s="1"/>
      <c r="D701" s="2"/>
      <c r="E701" s="2"/>
    </row>
    <row r="702" spans="2:5">
      <c r="B702" s="1"/>
      <c r="C702" s="1"/>
      <c r="D702" s="2"/>
      <c r="E702" s="2"/>
    </row>
    <row r="703" spans="2:5">
      <c r="B703" s="1"/>
      <c r="C703" s="1"/>
      <c r="D703" s="2"/>
      <c r="E703" s="2"/>
    </row>
    <row r="704" spans="2:5">
      <c r="B704" s="1"/>
      <c r="C704" s="1"/>
      <c r="D704" s="2"/>
      <c r="E704" s="2"/>
    </row>
    <row r="705" spans="2:5">
      <c r="B705" s="1"/>
      <c r="C705" s="1"/>
      <c r="D705" s="2"/>
      <c r="E705" s="2"/>
    </row>
    <row r="706" spans="2:5">
      <c r="B706" s="1"/>
      <c r="C706" s="1"/>
      <c r="D706" s="2"/>
      <c r="E706" s="2"/>
    </row>
    <row r="707" spans="2:5">
      <c r="B707" s="1"/>
      <c r="C707" s="1"/>
      <c r="D707" s="2"/>
      <c r="E707" s="2"/>
    </row>
    <row r="708" spans="2:5">
      <c r="B708" s="1"/>
      <c r="C708" s="1"/>
      <c r="D708" s="2"/>
      <c r="E708" s="2"/>
    </row>
    <row r="709" spans="2:5">
      <c r="B709" s="1"/>
      <c r="C709" s="1"/>
      <c r="D709" s="2"/>
      <c r="E709" s="2"/>
    </row>
    <row r="710" spans="2:5">
      <c r="B710" s="1"/>
      <c r="C710" s="1"/>
      <c r="D710" s="2"/>
      <c r="E710" s="2"/>
    </row>
    <row r="711" spans="2:5">
      <c r="B711" s="1"/>
      <c r="C711" s="1"/>
      <c r="D711" s="2"/>
      <c r="E711" s="2"/>
    </row>
    <row r="712" spans="2:5">
      <c r="B712" s="1"/>
      <c r="C712" s="1"/>
      <c r="D712" s="2"/>
      <c r="E712" s="2"/>
    </row>
    <row r="713" spans="2:5">
      <c r="B713" s="1"/>
      <c r="C713" s="1"/>
      <c r="D713" s="2"/>
      <c r="E713" s="2"/>
    </row>
    <row r="714" spans="2:5">
      <c r="B714" s="1"/>
      <c r="C714" s="1"/>
      <c r="D714" s="2"/>
      <c r="E714" s="2"/>
    </row>
    <row r="715" spans="2:5">
      <c r="B715" s="1"/>
      <c r="C715" s="1"/>
      <c r="D715" s="2"/>
      <c r="E715" s="2"/>
    </row>
    <row r="716" spans="2:5">
      <c r="B716" s="1"/>
      <c r="C716" s="1"/>
      <c r="D716" s="2"/>
      <c r="E716" s="2"/>
    </row>
    <row r="717" spans="2:5">
      <c r="B717" s="1"/>
      <c r="C717" s="1"/>
      <c r="D717" s="2"/>
      <c r="E717" s="2"/>
    </row>
    <row r="718" spans="2:5">
      <c r="B718" s="1"/>
      <c r="C718" s="1"/>
      <c r="D718" s="2"/>
      <c r="E718" s="2"/>
    </row>
    <row r="719" spans="2:5">
      <c r="B719" s="1"/>
      <c r="C719" s="1"/>
      <c r="D719" s="2"/>
      <c r="E719" s="2"/>
    </row>
    <row r="720" spans="2:5">
      <c r="B720" s="1"/>
      <c r="C720" s="1"/>
      <c r="D720" s="2"/>
      <c r="E720" s="2"/>
    </row>
    <row r="721" spans="2:5">
      <c r="B721" s="1"/>
      <c r="C721" s="1"/>
      <c r="D721" s="2"/>
      <c r="E721" s="2"/>
    </row>
    <row r="722" spans="2:5">
      <c r="B722" s="1"/>
      <c r="C722" s="1"/>
      <c r="D722" s="2"/>
      <c r="E722" s="2"/>
    </row>
    <row r="723" spans="2:5">
      <c r="B723" s="1"/>
      <c r="C723" s="1"/>
      <c r="D723" s="2"/>
      <c r="E723" s="2"/>
    </row>
    <row r="724" spans="2:5">
      <c r="B724" s="1"/>
      <c r="C724" s="1"/>
      <c r="D724" s="2"/>
      <c r="E724" s="2"/>
    </row>
    <row r="725" spans="2:5">
      <c r="B725" s="1"/>
      <c r="C725" s="1"/>
      <c r="D725" s="2"/>
      <c r="E725" s="2"/>
    </row>
    <row r="726" spans="2:5">
      <c r="B726" s="1"/>
      <c r="C726" s="1"/>
      <c r="D726" s="2"/>
      <c r="E726" s="2"/>
    </row>
    <row r="727" spans="2:5">
      <c r="B727" s="1"/>
      <c r="C727" s="1"/>
      <c r="D727" s="2"/>
      <c r="E727" s="2"/>
    </row>
    <row r="728" spans="2:5">
      <c r="B728" s="1"/>
      <c r="C728" s="1"/>
      <c r="D728" s="2"/>
      <c r="E728" s="2"/>
    </row>
    <row r="729" spans="2:5">
      <c r="B729" s="1"/>
      <c r="C729" s="1"/>
      <c r="D729" s="2"/>
      <c r="E729" s="2"/>
    </row>
    <row r="730" spans="2:5">
      <c r="B730" s="1"/>
      <c r="C730" s="1"/>
      <c r="D730" s="2"/>
      <c r="E730" s="2"/>
    </row>
    <row r="731" spans="2:5">
      <c r="B731" s="1"/>
      <c r="C731" s="1"/>
      <c r="D731" s="2"/>
      <c r="E731" s="2"/>
    </row>
    <row r="732" spans="2:5">
      <c r="B732" s="1"/>
      <c r="C732" s="1"/>
      <c r="D732" s="2"/>
      <c r="E732" s="2"/>
    </row>
    <row r="733" spans="2:5">
      <c r="B733" s="1"/>
      <c r="C733" s="1"/>
      <c r="D733" s="2"/>
      <c r="E733" s="2"/>
    </row>
    <row r="734" spans="2:5">
      <c r="B734" s="1"/>
      <c r="C734" s="1"/>
      <c r="D734" s="2"/>
      <c r="E734" s="2"/>
    </row>
    <row r="735" spans="2:5">
      <c r="B735" s="1"/>
      <c r="C735" s="1"/>
      <c r="D735" s="2"/>
      <c r="E735" s="2"/>
    </row>
    <row r="736" spans="2:5">
      <c r="B736" s="1"/>
      <c r="C736" s="1"/>
      <c r="D736" s="2"/>
      <c r="E736" s="2"/>
    </row>
    <row r="737" spans="2:5">
      <c r="B737" s="1"/>
      <c r="C737" s="1"/>
      <c r="D737" s="2"/>
      <c r="E737" s="2"/>
    </row>
    <row r="738" spans="2:5">
      <c r="B738" s="1"/>
      <c r="C738" s="1"/>
      <c r="D738" s="2"/>
      <c r="E738" s="2"/>
    </row>
    <row r="739" spans="2:5">
      <c r="B739" s="1"/>
      <c r="C739" s="1"/>
      <c r="D739" s="2"/>
      <c r="E739" s="2"/>
    </row>
    <row r="740" spans="2:5">
      <c r="B740" s="1"/>
      <c r="C740" s="1"/>
      <c r="D740" s="2"/>
      <c r="E740" s="2"/>
    </row>
    <row r="741" spans="2:5">
      <c r="B741" s="1"/>
      <c r="C741" s="1"/>
      <c r="D741" s="2"/>
      <c r="E741" s="2"/>
    </row>
    <row r="742" spans="2:5">
      <c r="B742" s="1"/>
      <c r="C742" s="1"/>
      <c r="D742" s="2"/>
      <c r="E742" s="2"/>
    </row>
    <row r="743" spans="2:5">
      <c r="B743" s="1"/>
      <c r="C743" s="1"/>
      <c r="D743" s="2"/>
      <c r="E743" s="2"/>
    </row>
    <row r="744" spans="2:5">
      <c r="B744" s="1"/>
      <c r="C744" s="1"/>
      <c r="D744" s="2"/>
      <c r="E744" s="2"/>
    </row>
    <row r="745" spans="2:5">
      <c r="B745" s="1"/>
      <c r="C745" s="1"/>
      <c r="D745" s="2"/>
      <c r="E745" s="2"/>
    </row>
    <row r="746" spans="2:5">
      <c r="B746" s="1"/>
      <c r="C746" s="1"/>
      <c r="D746" s="2"/>
      <c r="E746" s="2"/>
    </row>
    <row r="747" spans="2:5">
      <c r="B747" s="1"/>
      <c r="C747" s="1"/>
      <c r="D747" s="2"/>
      <c r="E747" s="2"/>
    </row>
    <row r="748" spans="2:5">
      <c r="B748" s="1"/>
      <c r="C748" s="1"/>
      <c r="D748" s="2"/>
      <c r="E748" s="2"/>
    </row>
    <row r="749" spans="2:5">
      <c r="B749" s="1"/>
      <c r="C749" s="1"/>
      <c r="D749" s="2"/>
      <c r="E749" s="2"/>
    </row>
    <row r="750" spans="2:5">
      <c r="B750" s="1"/>
      <c r="C750" s="1"/>
      <c r="D750" s="2"/>
      <c r="E750" s="2"/>
    </row>
    <row r="751" spans="2:5">
      <c r="B751" s="1"/>
      <c r="C751" s="1"/>
      <c r="D751" s="2"/>
      <c r="E751" s="2"/>
    </row>
    <row r="752" spans="2:5">
      <c r="B752" s="1"/>
      <c r="C752" s="1"/>
      <c r="D752" s="2"/>
      <c r="E752" s="2"/>
    </row>
    <row r="753" spans="2:5">
      <c r="B753" s="1"/>
      <c r="C753" s="1"/>
      <c r="D753" s="2"/>
      <c r="E753" s="2"/>
    </row>
    <row r="754" spans="2:5">
      <c r="B754" s="1"/>
      <c r="C754" s="1"/>
      <c r="D754" s="2"/>
      <c r="E754" s="2"/>
    </row>
    <row r="755" spans="2:5">
      <c r="B755" s="1"/>
      <c r="C755" s="1"/>
      <c r="D755" s="2"/>
      <c r="E755" s="2"/>
    </row>
    <row r="756" spans="2:5">
      <c r="B756" s="1"/>
      <c r="C756" s="1"/>
      <c r="D756" s="2"/>
      <c r="E756" s="2"/>
    </row>
    <row r="757" spans="2:5">
      <c r="B757" s="1"/>
      <c r="C757" s="1"/>
      <c r="D757" s="2"/>
      <c r="E757" s="2"/>
    </row>
    <row r="758" spans="2:5">
      <c r="B758" s="1"/>
      <c r="C758" s="1"/>
      <c r="D758" s="2"/>
      <c r="E758" s="2"/>
    </row>
    <row r="759" spans="2:5">
      <c r="B759" s="1"/>
      <c r="C759" s="1"/>
      <c r="D759" s="2"/>
      <c r="E759" s="2"/>
    </row>
    <row r="760" spans="2:5">
      <c r="B760" s="1"/>
      <c r="C760" s="1"/>
      <c r="D760" s="2"/>
      <c r="E760" s="2"/>
    </row>
    <row r="761" spans="2:5">
      <c r="B761" s="1"/>
      <c r="C761" s="1"/>
      <c r="D761" s="2"/>
      <c r="E761" s="2"/>
    </row>
    <row r="762" spans="2:5">
      <c r="B762" s="1"/>
      <c r="C762" s="1"/>
      <c r="D762" s="2"/>
      <c r="E762" s="2"/>
    </row>
    <row r="763" spans="2:5">
      <c r="B763" s="1"/>
      <c r="C763" s="1"/>
      <c r="D763" s="2"/>
      <c r="E763" s="2"/>
    </row>
    <row r="764" spans="2:5">
      <c r="B764" s="1"/>
      <c r="C764" s="1"/>
      <c r="D764" s="2"/>
      <c r="E764" s="2"/>
    </row>
    <row r="765" spans="2:5">
      <c r="B765" s="1"/>
      <c r="C765" s="1"/>
      <c r="D765" s="2"/>
      <c r="E765" s="2"/>
    </row>
    <row r="766" spans="2:5">
      <c r="B766" s="1"/>
      <c r="C766" s="1"/>
      <c r="D766" s="2"/>
      <c r="E766" s="2"/>
    </row>
    <row r="767" spans="2:5">
      <c r="B767" s="1"/>
      <c r="C767" s="1"/>
      <c r="D767" s="2"/>
      <c r="E767" s="2"/>
    </row>
    <row r="768" spans="2:5">
      <c r="B768" s="1"/>
      <c r="C768" s="1"/>
      <c r="D768" s="2"/>
      <c r="E768" s="2"/>
    </row>
    <row r="769" spans="2:5">
      <c r="B769" s="1"/>
      <c r="C769" s="1"/>
      <c r="D769" s="2"/>
      <c r="E769" s="2"/>
    </row>
    <row r="770" spans="2:5">
      <c r="B770" s="1"/>
      <c r="C770" s="1"/>
      <c r="D770" s="2"/>
      <c r="E770" s="2"/>
    </row>
    <row r="771" spans="2:5">
      <c r="B771" s="1"/>
      <c r="C771" s="1"/>
      <c r="D771" s="2"/>
      <c r="E771" s="2"/>
    </row>
    <row r="772" spans="2:5">
      <c r="B772" s="1"/>
      <c r="C772" s="1"/>
      <c r="D772" s="2"/>
      <c r="E772" s="2"/>
    </row>
    <row r="773" spans="2:5">
      <c r="B773" s="1"/>
      <c r="C773" s="1"/>
      <c r="D773" s="2"/>
      <c r="E773" s="2"/>
    </row>
    <row r="774" spans="2:5">
      <c r="B774" s="1"/>
      <c r="C774" s="1"/>
      <c r="D774" s="2"/>
      <c r="E774" s="2"/>
    </row>
    <row r="775" spans="2:5">
      <c r="B775" s="1"/>
      <c r="C775" s="1"/>
      <c r="D775" s="2"/>
      <c r="E775" s="2"/>
    </row>
    <row r="776" spans="2:5">
      <c r="B776" s="1"/>
      <c r="C776" s="1"/>
      <c r="D776" s="2"/>
      <c r="E776" s="2"/>
    </row>
    <row r="777" spans="2:5">
      <c r="B777" s="1"/>
      <c r="C777" s="1"/>
      <c r="D777" s="2"/>
      <c r="E777" s="2"/>
    </row>
    <row r="778" spans="2:5">
      <c r="B778" s="1"/>
      <c r="C778" s="1"/>
      <c r="D778" s="2"/>
      <c r="E778" s="2"/>
    </row>
    <row r="779" spans="2:5">
      <c r="B779" s="1"/>
      <c r="C779" s="1"/>
      <c r="D779" s="2"/>
      <c r="E779" s="2"/>
    </row>
    <row r="780" spans="2:5">
      <c r="B780" s="1"/>
      <c r="C780" s="1"/>
      <c r="D780" s="2"/>
      <c r="E780" s="2"/>
    </row>
    <row r="781" spans="2:5">
      <c r="B781" s="1"/>
      <c r="C781" s="1"/>
      <c r="D781" s="2"/>
      <c r="E781" s="2"/>
    </row>
    <row r="782" spans="2:5">
      <c r="B782" s="1"/>
      <c r="C782" s="1"/>
      <c r="D782" s="2"/>
      <c r="E782" s="2"/>
    </row>
    <row r="783" spans="2:5">
      <c r="B783" s="1"/>
      <c r="C783" s="1"/>
      <c r="D783" s="2"/>
      <c r="E783" s="2"/>
    </row>
    <row r="784" spans="2:5">
      <c r="B784" s="1"/>
      <c r="C784" s="1"/>
      <c r="D784" s="2"/>
      <c r="E784" s="2"/>
    </row>
    <row r="785" spans="2:5">
      <c r="B785" s="1"/>
      <c r="C785" s="1"/>
      <c r="D785" s="2"/>
      <c r="E785" s="2"/>
    </row>
    <row r="786" spans="2:5">
      <c r="B786" s="1"/>
      <c r="C786" s="1"/>
      <c r="D786" s="2"/>
      <c r="E786" s="2"/>
    </row>
    <row r="787" spans="2:5">
      <c r="B787" s="1"/>
      <c r="C787" s="1"/>
      <c r="D787" s="2"/>
      <c r="E787" s="2"/>
    </row>
    <row r="788" spans="2:5">
      <c r="B788" s="1"/>
      <c r="C788" s="1"/>
      <c r="D788" s="2"/>
      <c r="E788" s="2"/>
    </row>
    <row r="789" spans="2:5">
      <c r="B789" s="1"/>
      <c r="C789" s="1"/>
      <c r="D789" s="2"/>
      <c r="E789" s="2"/>
    </row>
    <row r="790" spans="2:5">
      <c r="B790" s="1"/>
      <c r="C790" s="1"/>
      <c r="D790" s="2"/>
      <c r="E790" s="2"/>
    </row>
    <row r="791" spans="2:5">
      <c r="B791" s="1"/>
      <c r="C791" s="1"/>
      <c r="D791" s="2"/>
      <c r="E791" s="2"/>
    </row>
    <row r="792" spans="2:5">
      <c r="B792" s="1"/>
      <c r="C792" s="1"/>
      <c r="D792" s="2"/>
      <c r="E792" s="2"/>
    </row>
    <row r="793" spans="2:5">
      <c r="B793" s="1"/>
      <c r="C793" s="1"/>
      <c r="D793" s="2"/>
      <c r="E793" s="2"/>
    </row>
    <row r="794" spans="2:5">
      <c r="B794" s="1"/>
      <c r="C794" s="1"/>
      <c r="D794" s="2"/>
      <c r="E794" s="2"/>
    </row>
    <row r="795" spans="2:5">
      <c r="B795" s="1"/>
      <c r="C795" s="1"/>
      <c r="D795" s="2"/>
      <c r="E795" s="2"/>
    </row>
    <row r="796" spans="2:5">
      <c r="B796" s="1"/>
      <c r="C796" s="1"/>
      <c r="D796" s="2"/>
      <c r="E796" s="2"/>
    </row>
    <row r="797" spans="2:5">
      <c r="B797" s="1"/>
      <c r="C797" s="1"/>
      <c r="D797" s="2"/>
      <c r="E797" s="2"/>
    </row>
    <row r="798" spans="2:5">
      <c r="B798" s="1"/>
      <c r="C798" s="1"/>
      <c r="D798" s="2"/>
      <c r="E798" s="2"/>
    </row>
    <row r="799" spans="2:5">
      <c r="B799" s="1"/>
      <c r="C799" s="1"/>
      <c r="D799" s="2"/>
      <c r="E799" s="2"/>
    </row>
    <row r="800" spans="2:5">
      <c r="B800" s="1"/>
      <c r="C800" s="1"/>
      <c r="D800" s="2"/>
      <c r="E800" s="2"/>
    </row>
    <row r="801" spans="2:5">
      <c r="B801" s="1"/>
      <c r="C801" s="1"/>
      <c r="D801" s="2"/>
      <c r="E801" s="2"/>
    </row>
    <row r="802" spans="2:5">
      <c r="B802" s="1"/>
      <c r="C802" s="1"/>
      <c r="D802" s="2"/>
      <c r="E802" s="2"/>
    </row>
    <row r="803" spans="2:5">
      <c r="B803" s="1"/>
      <c r="C803" s="1"/>
      <c r="D803" s="2"/>
      <c r="E803" s="2"/>
    </row>
    <row r="804" spans="2:5">
      <c r="B804" s="1"/>
      <c r="C804" s="1"/>
      <c r="D804" s="2"/>
      <c r="E804" s="2"/>
    </row>
    <row r="805" spans="2:5">
      <c r="B805" s="1"/>
      <c r="C805" s="1"/>
      <c r="D805" s="2"/>
      <c r="E805" s="2"/>
    </row>
    <row r="806" spans="2:5">
      <c r="B806" s="1"/>
      <c r="C806" s="1"/>
      <c r="D806" s="2"/>
      <c r="E806" s="2"/>
    </row>
    <row r="807" spans="2:5">
      <c r="B807" s="1"/>
      <c r="C807" s="1"/>
      <c r="D807" s="2"/>
      <c r="E807" s="2"/>
    </row>
    <row r="808" spans="2:5">
      <c r="B808" s="1"/>
      <c r="C808" s="1"/>
      <c r="D808" s="2"/>
      <c r="E808" s="2"/>
    </row>
    <row r="809" spans="2:5">
      <c r="B809" s="1"/>
      <c r="C809" s="1"/>
      <c r="D809" s="2"/>
      <c r="E809" s="2"/>
    </row>
    <row r="810" spans="2:5">
      <c r="B810" s="1"/>
      <c r="C810" s="1"/>
      <c r="D810" s="2"/>
      <c r="E810" s="2"/>
    </row>
    <row r="811" spans="2:5">
      <c r="B811" s="1"/>
      <c r="C811" s="1"/>
      <c r="D811" s="2"/>
      <c r="E811" s="2"/>
    </row>
    <row r="812" spans="2:5">
      <c r="B812" s="1"/>
      <c r="C812" s="1"/>
      <c r="D812" s="2"/>
      <c r="E812" s="2"/>
    </row>
    <row r="813" spans="2:5">
      <c r="B813" s="1"/>
      <c r="C813" s="1"/>
      <c r="D813" s="2"/>
      <c r="E813" s="2"/>
    </row>
    <row r="814" spans="2:5">
      <c r="B814" s="1"/>
      <c r="C814" s="1"/>
      <c r="D814" s="2"/>
      <c r="E814" s="2"/>
    </row>
    <row r="815" spans="2:5">
      <c r="B815" s="1"/>
      <c r="C815" s="1"/>
      <c r="D815" s="2"/>
      <c r="E815" s="2"/>
    </row>
    <row r="816" spans="2:5">
      <c r="B816" s="1"/>
      <c r="C816" s="1"/>
      <c r="D816" s="2"/>
      <c r="E816" s="2"/>
    </row>
    <row r="817" spans="2:5">
      <c r="B817" s="1"/>
      <c r="C817" s="1"/>
      <c r="D817" s="2"/>
      <c r="E817" s="2"/>
    </row>
    <row r="818" spans="2:5">
      <c r="B818" s="1"/>
      <c r="C818" s="1"/>
      <c r="D818" s="2"/>
      <c r="E818" s="2"/>
    </row>
    <row r="819" spans="2:5">
      <c r="B819" s="1"/>
      <c r="C819" s="1"/>
      <c r="D819" s="2"/>
      <c r="E819" s="2"/>
    </row>
    <row r="820" spans="2:5">
      <c r="B820" s="1"/>
      <c r="C820" s="1"/>
      <c r="D820" s="2"/>
      <c r="E820" s="2"/>
    </row>
    <row r="821" spans="2:5">
      <c r="B821" s="1"/>
      <c r="C821" s="1"/>
      <c r="D821" s="2"/>
      <c r="E821" s="2"/>
    </row>
    <row r="822" spans="2:5">
      <c r="B822" s="1"/>
      <c r="C822" s="1"/>
      <c r="D822" s="2"/>
      <c r="E822" s="2"/>
    </row>
    <row r="823" spans="2:5">
      <c r="B823" s="1"/>
      <c r="C823" s="1"/>
      <c r="D823" s="2"/>
      <c r="E823" s="2"/>
    </row>
    <row r="824" spans="2:5">
      <c r="B824" s="1"/>
      <c r="C824" s="1"/>
      <c r="D824" s="2"/>
      <c r="E824" s="2"/>
    </row>
    <row r="825" spans="2:5">
      <c r="B825" s="1"/>
      <c r="C825" s="1"/>
      <c r="D825" s="2"/>
      <c r="E825" s="2"/>
    </row>
    <row r="826" spans="2:5">
      <c r="B826" s="1"/>
      <c r="C826" s="1"/>
      <c r="D826" s="2"/>
      <c r="E826" s="2"/>
    </row>
    <row r="827" spans="2:5">
      <c r="B827" s="1"/>
      <c r="C827" s="1"/>
      <c r="D827" s="2"/>
      <c r="E827" s="2"/>
    </row>
    <row r="828" spans="2:5">
      <c r="B828" s="1"/>
      <c r="C828" s="1"/>
      <c r="D828" s="2"/>
      <c r="E828" s="2"/>
    </row>
    <row r="829" spans="2:5">
      <c r="B829" s="1"/>
      <c r="C829" s="1"/>
      <c r="D829" s="2"/>
      <c r="E829" s="2"/>
    </row>
    <row r="830" spans="2:5">
      <c r="B830" s="1"/>
      <c r="C830" s="1"/>
      <c r="D830" s="2"/>
      <c r="E830" s="2"/>
    </row>
    <row r="831" spans="2:5">
      <c r="B831" s="1"/>
      <c r="C831" s="1"/>
      <c r="D831" s="2"/>
      <c r="E831" s="2"/>
    </row>
    <row r="832" spans="2:5">
      <c r="B832" s="1"/>
      <c r="C832" s="1"/>
      <c r="D832" s="2"/>
      <c r="E832" s="2"/>
    </row>
    <row r="833" spans="2:5">
      <c r="B833" s="1"/>
      <c r="C833" s="1"/>
      <c r="D833" s="2"/>
      <c r="E833" s="2"/>
    </row>
    <row r="834" spans="2:5">
      <c r="B834" s="1"/>
      <c r="C834" s="1"/>
      <c r="D834" s="2"/>
      <c r="E834" s="2"/>
    </row>
    <row r="835" spans="2:5">
      <c r="B835" s="1"/>
      <c r="C835" s="1"/>
      <c r="D835" s="2"/>
      <c r="E835" s="2"/>
    </row>
    <row r="836" spans="2:5">
      <c r="B836" s="1"/>
      <c r="C836" s="1"/>
      <c r="D836" s="2"/>
      <c r="E836" s="2"/>
    </row>
    <row r="837" spans="2:5">
      <c r="B837" s="1"/>
      <c r="C837" s="1"/>
      <c r="D837" s="2"/>
      <c r="E837" s="2"/>
    </row>
    <row r="838" spans="2:5">
      <c r="B838" s="1"/>
      <c r="C838" s="1"/>
      <c r="D838" s="2"/>
      <c r="E838" s="2"/>
    </row>
    <row r="839" spans="2:5">
      <c r="B839" s="1"/>
      <c r="C839" s="1"/>
      <c r="D839" s="2"/>
      <c r="E839" s="2"/>
    </row>
    <row r="840" spans="2:5">
      <c r="B840" s="1"/>
      <c r="C840" s="1"/>
      <c r="D840" s="2"/>
      <c r="E840" s="2"/>
    </row>
    <row r="841" spans="2:5">
      <c r="B841" s="1"/>
      <c r="C841" s="1"/>
      <c r="D841" s="2"/>
      <c r="E841" s="2"/>
    </row>
    <row r="842" spans="2:5">
      <c r="B842" s="1"/>
      <c r="C842" s="1"/>
      <c r="D842" s="2"/>
      <c r="E842" s="2"/>
    </row>
    <row r="843" spans="2:5">
      <c r="B843" s="1"/>
      <c r="C843" s="1"/>
      <c r="D843" s="2"/>
      <c r="E843" s="2"/>
    </row>
    <row r="844" spans="2:5">
      <c r="B844" s="1"/>
      <c r="C844" s="1"/>
      <c r="D844" s="2"/>
      <c r="E844" s="2"/>
    </row>
    <row r="845" spans="2:5">
      <c r="B845" s="1"/>
      <c r="C845" s="1"/>
      <c r="D845" s="2"/>
      <c r="E845" s="2"/>
    </row>
    <row r="846" spans="2:5">
      <c r="B846" s="1"/>
      <c r="C846" s="1"/>
      <c r="D846" s="2"/>
      <c r="E846" s="2"/>
    </row>
    <row r="847" spans="2:5">
      <c r="B847" s="1"/>
      <c r="C847" s="1"/>
      <c r="D847" s="2"/>
      <c r="E847" s="2"/>
    </row>
    <row r="848" spans="2:5">
      <c r="B848" s="1"/>
      <c r="C848" s="1"/>
      <c r="D848" s="2"/>
      <c r="E848" s="2"/>
    </row>
    <row r="849" spans="2:5">
      <c r="B849" s="1"/>
      <c r="C849" s="1"/>
      <c r="D849" s="2"/>
      <c r="E849" s="2"/>
    </row>
    <row r="850" spans="2:5">
      <c r="B850" s="1"/>
      <c r="C850" s="1"/>
      <c r="D850" s="2"/>
      <c r="E850" s="2"/>
    </row>
    <row r="851" spans="2:5">
      <c r="B851" s="1"/>
      <c r="C851" s="1"/>
      <c r="D851" s="2"/>
      <c r="E851" s="2"/>
    </row>
    <row r="852" spans="2:5">
      <c r="B852" s="1"/>
      <c r="C852" s="1"/>
      <c r="D852" s="2"/>
      <c r="E852" s="2"/>
    </row>
    <row r="853" spans="2:5">
      <c r="B853" s="1"/>
      <c r="C853" s="1"/>
      <c r="D853" s="2"/>
      <c r="E853" s="2"/>
    </row>
    <row r="854" spans="2:5">
      <c r="B854" s="1"/>
      <c r="C854" s="1"/>
      <c r="D854" s="2"/>
      <c r="E854" s="2"/>
    </row>
    <row r="855" spans="2:5">
      <c r="B855" s="1"/>
      <c r="C855" s="1"/>
      <c r="D855" s="2"/>
      <c r="E855" s="2"/>
    </row>
    <row r="856" spans="2:5">
      <c r="B856" s="1"/>
      <c r="C856" s="1"/>
      <c r="D856" s="2"/>
      <c r="E856" s="2"/>
    </row>
    <row r="857" spans="2:5">
      <c r="B857" s="1"/>
      <c r="C857" s="1"/>
      <c r="D857" s="2"/>
      <c r="E857" s="2"/>
    </row>
    <row r="858" spans="2:5">
      <c r="B858" s="1"/>
      <c r="C858" s="1"/>
      <c r="D858" s="2"/>
      <c r="E858" s="2"/>
    </row>
    <row r="859" spans="2:5">
      <c r="B859" s="1"/>
      <c r="C859" s="1"/>
      <c r="D859" s="2"/>
      <c r="E859" s="2"/>
    </row>
    <row r="860" spans="2:5">
      <c r="B860" s="1"/>
      <c r="C860" s="1"/>
      <c r="D860" s="2"/>
      <c r="E860" s="2"/>
    </row>
    <row r="861" spans="2:5">
      <c r="B861" s="1"/>
      <c r="C861" s="1"/>
      <c r="D861" s="2"/>
      <c r="E861" s="2"/>
    </row>
    <row r="862" spans="2:5">
      <c r="B862" s="1"/>
      <c r="C862" s="1"/>
      <c r="D862" s="2"/>
      <c r="E862" s="2"/>
    </row>
    <row r="863" spans="2:5">
      <c r="B863" s="1"/>
      <c r="C863" s="1"/>
      <c r="D863" s="2"/>
      <c r="E863" s="2"/>
    </row>
    <row r="864" spans="2:5">
      <c r="B864" s="1"/>
      <c r="C864" s="1"/>
      <c r="D864" s="2"/>
      <c r="E864" s="2"/>
    </row>
    <row r="865" spans="2:5">
      <c r="B865" s="1"/>
      <c r="C865" s="1"/>
      <c r="D865" s="2"/>
      <c r="E865" s="2"/>
    </row>
    <row r="866" spans="2:5">
      <c r="B866" s="1"/>
      <c r="C866" s="1"/>
      <c r="D866" s="2"/>
      <c r="E866" s="2"/>
    </row>
    <row r="867" spans="2:5">
      <c r="B867" s="1"/>
      <c r="C867" s="1"/>
      <c r="D867" s="2"/>
      <c r="E867" s="2"/>
    </row>
    <row r="868" spans="2:5">
      <c r="B868" s="1"/>
      <c r="C868" s="1"/>
      <c r="D868" s="2"/>
      <c r="E868" s="2"/>
    </row>
    <row r="869" spans="2:5">
      <c r="B869" s="1"/>
      <c r="C869" s="1"/>
      <c r="D869" s="2"/>
      <c r="E869" s="2"/>
    </row>
    <row r="870" spans="2:5">
      <c r="B870" s="1"/>
      <c r="C870" s="1"/>
      <c r="D870" s="2"/>
      <c r="E870" s="2"/>
    </row>
    <row r="871" spans="2:5">
      <c r="B871" s="1"/>
      <c r="C871" s="1"/>
      <c r="D871" s="2"/>
      <c r="E871" s="2"/>
    </row>
    <row r="872" spans="2:5">
      <c r="B872" s="1"/>
      <c r="C872" s="1"/>
      <c r="D872" s="2"/>
      <c r="E872" s="2"/>
    </row>
    <row r="873" spans="2:5">
      <c r="B873" s="1"/>
      <c r="C873" s="1"/>
      <c r="D873" s="2"/>
      <c r="E873" s="2"/>
    </row>
    <row r="874" spans="2:5">
      <c r="B874" s="1"/>
      <c r="C874" s="1"/>
      <c r="D874" s="2"/>
      <c r="E874" s="2"/>
    </row>
    <row r="875" spans="2:5">
      <c r="B875" s="1"/>
      <c r="C875" s="1"/>
      <c r="D875" s="2"/>
      <c r="E875" s="2"/>
    </row>
    <row r="876" spans="2:5">
      <c r="B876" s="1"/>
      <c r="C876" s="1"/>
      <c r="D876" s="2"/>
      <c r="E876" s="2"/>
    </row>
    <row r="877" spans="2:5">
      <c r="B877" s="1"/>
      <c r="C877" s="1"/>
      <c r="D877" s="2"/>
      <c r="E877" s="2"/>
    </row>
    <row r="878" spans="2:5">
      <c r="B878" s="1"/>
      <c r="C878" s="1"/>
      <c r="D878" s="2"/>
      <c r="E878" s="2"/>
    </row>
    <row r="879" spans="2:5">
      <c r="B879" s="1"/>
      <c r="C879" s="1"/>
      <c r="D879" s="2"/>
      <c r="E879" s="2"/>
    </row>
    <row r="880" spans="2:5">
      <c r="B880" s="1"/>
      <c r="C880" s="1"/>
      <c r="D880" s="2"/>
      <c r="E880" s="2"/>
    </row>
    <row r="881" spans="2:5">
      <c r="B881" s="1"/>
      <c r="C881" s="1"/>
      <c r="D881" s="2"/>
      <c r="E881" s="2"/>
    </row>
    <row r="882" spans="2:5">
      <c r="B882" s="1"/>
      <c r="C882" s="1"/>
      <c r="D882" s="2"/>
      <c r="E882" s="2"/>
    </row>
    <row r="883" spans="2:5">
      <c r="B883" s="1"/>
      <c r="C883" s="1"/>
      <c r="D883" s="2"/>
      <c r="E883" s="2"/>
    </row>
    <row r="884" spans="2:5">
      <c r="B884" s="1"/>
      <c r="C884" s="1"/>
      <c r="D884" s="2"/>
      <c r="E884" s="2"/>
    </row>
    <row r="885" spans="2:5">
      <c r="B885" s="1"/>
      <c r="C885" s="1"/>
      <c r="D885" s="2"/>
      <c r="E885" s="2"/>
    </row>
    <row r="886" spans="2:5">
      <c r="B886" s="1"/>
      <c r="C886" s="1"/>
      <c r="D886" s="2"/>
      <c r="E886" s="2"/>
    </row>
    <row r="887" spans="2:5">
      <c r="B887" s="1"/>
      <c r="C887" s="1"/>
      <c r="D887" s="2"/>
      <c r="E887" s="2"/>
    </row>
    <row r="888" spans="2:5">
      <c r="B888" s="1"/>
      <c r="C888" s="1"/>
      <c r="D888" s="2"/>
      <c r="E888" s="2"/>
    </row>
    <row r="889" spans="2:5">
      <c r="B889" s="1"/>
      <c r="C889" s="1"/>
      <c r="D889" s="2"/>
      <c r="E889" s="2"/>
    </row>
    <row r="890" spans="2:5">
      <c r="B890" s="1"/>
      <c r="C890" s="1"/>
      <c r="D890" s="2"/>
      <c r="E890" s="2"/>
    </row>
    <row r="891" spans="2:5">
      <c r="B891" s="1"/>
      <c r="C891" s="1"/>
      <c r="D891" s="2"/>
      <c r="E891" s="2"/>
    </row>
    <row r="892" spans="2:5">
      <c r="B892" s="1"/>
      <c r="C892" s="1"/>
      <c r="D892" s="2"/>
      <c r="E892" s="2"/>
    </row>
    <row r="893" spans="2:5">
      <c r="B893" s="1"/>
      <c r="C893" s="1"/>
      <c r="D893" s="2"/>
      <c r="E893" s="2"/>
    </row>
    <row r="894" spans="2:5">
      <c r="B894" s="1"/>
      <c r="C894" s="1"/>
      <c r="D894" s="2"/>
      <c r="E894" s="2"/>
    </row>
    <row r="895" spans="2:5">
      <c r="B895" s="1"/>
      <c r="C895" s="1"/>
      <c r="D895" s="2"/>
      <c r="E895" s="2"/>
    </row>
    <row r="896" spans="2:5">
      <c r="B896" s="1"/>
      <c r="C896" s="1"/>
      <c r="D896" s="2"/>
      <c r="E896" s="2"/>
    </row>
    <row r="897" spans="2:5">
      <c r="B897" s="1"/>
      <c r="C897" s="1"/>
      <c r="D897" s="2"/>
      <c r="E897" s="2"/>
    </row>
    <row r="898" spans="2:5">
      <c r="B898" s="1"/>
      <c r="C898" s="1"/>
      <c r="D898" s="2"/>
      <c r="E898" s="2"/>
    </row>
    <row r="899" spans="2:5">
      <c r="B899" s="1"/>
      <c r="C899" s="1"/>
      <c r="D899" s="2"/>
      <c r="E899" s="2"/>
    </row>
    <row r="900" spans="2:5">
      <c r="B900" s="1"/>
      <c r="C900" s="1"/>
      <c r="D900" s="2"/>
      <c r="E900" s="2"/>
    </row>
    <row r="901" spans="2:5">
      <c r="B901" s="1"/>
      <c r="C901" s="1"/>
      <c r="D901" s="2"/>
      <c r="E901" s="2"/>
    </row>
    <row r="902" spans="2:5">
      <c r="B902" s="1"/>
      <c r="C902" s="1"/>
      <c r="D902" s="2"/>
      <c r="E902" s="2"/>
    </row>
    <row r="903" spans="2:5">
      <c r="B903" s="1"/>
      <c r="C903" s="1"/>
      <c r="D903" s="2"/>
      <c r="E903" s="2"/>
    </row>
    <row r="904" spans="2:5">
      <c r="B904" s="1"/>
      <c r="C904" s="1"/>
      <c r="D904" s="2"/>
      <c r="E904" s="2"/>
    </row>
    <row r="905" spans="2:5">
      <c r="B905" s="1"/>
      <c r="C905" s="1"/>
      <c r="D905" s="2"/>
      <c r="E905" s="2"/>
    </row>
    <row r="906" spans="2:5">
      <c r="B906" s="1"/>
      <c r="C906" s="1"/>
      <c r="D906" s="2"/>
      <c r="E906" s="2"/>
    </row>
    <row r="907" spans="2:5">
      <c r="B907" s="1"/>
      <c r="C907" s="1"/>
      <c r="D907" s="2"/>
      <c r="E907" s="2"/>
    </row>
    <row r="908" spans="2:5">
      <c r="B908" s="1"/>
      <c r="C908" s="1"/>
      <c r="D908" s="2"/>
      <c r="E908" s="2"/>
    </row>
    <row r="909" spans="2:5">
      <c r="B909" s="1"/>
      <c r="C909" s="1"/>
      <c r="D909" s="2"/>
      <c r="E909" s="2"/>
    </row>
    <row r="910" spans="2:5">
      <c r="B910" s="1"/>
      <c r="C910" s="1"/>
      <c r="D910" s="2"/>
      <c r="E910" s="2"/>
    </row>
    <row r="911" spans="2:5">
      <c r="B911" s="1"/>
      <c r="C911" s="1"/>
      <c r="D911" s="2"/>
      <c r="E911" s="2"/>
    </row>
    <row r="912" spans="2:5">
      <c r="B912" s="1"/>
      <c r="C912" s="1"/>
      <c r="D912" s="2"/>
      <c r="E912" s="2"/>
    </row>
    <row r="913" spans="2:5">
      <c r="B913" s="1"/>
      <c r="C913" s="1"/>
      <c r="D913" s="2"/>
      <c r="E913" s="2"/>
    </row>
    <row r="914" spans="2:5">
      <c r="B914" s="1"/>
      <c r="C914" s="1"/>
      <c r="D914" s="2"/>
      <c r="E914" s="2"/>
    </row>
    <row r="915" spans="2:5">
      <c r="B915" s="1"/>
      <c r="C915" s="1"/>
      <c r="D915" s="2"/>
      <c r="E915" s="2"/>
    </row>
    <row r="916" spans="2:5">
      <c r="B916" s="1"/>
      <c r="C916" s="1"/>
      <c r="D916" s="2"/>
      <c r="E916" s="2"/>
    </row>
    <row r="917" spans="2:5">
      <c r="B917" s="1"/>
      <c r="C917" s="1"/>
      <c r="D917" s="2"/>
      <c r="E917" s="2"/>
    </row>
    <row r="918" spans="2:5">
      <c r="B918" s="1"/>
      <c r="C918" s="1"/>
      <c r="D918" s="2"/>
      <c r="E918" s="2"/>
    </row>
    <row r="919" spans="2:5">
      <c r="B919" s="1"/>
      <c r="C919" s="1"/>
      <c r="D919" s="2"/>
      <c r="E919" s="2"/>
    </row>
    <row r="920" spans="2:5">
      <c r="B920" s="1"/>
      <c r="C920" s="1"/>
      <c r="D920" s="2"/>
      <c r="E920" s="2"/>
    </row>
    <row r="921" spans="2:5">
      <c r="B921" s="1"/>
      <c r="C921" s="1"/>
      <c r="D921" s="2"/>
      <c r="E921" s="2"/>
    </row>
    <row r="922" spans="2:5">
      <c r="B922" s="1"/>
      <c r="C922" s="1"/>
      <c r="D922" s="2"/>
      <c r="E922" s="2"/>
    </row>
    <row r="923" spans="2:5">
      <c r="B923" s="1"/>
      <c r="C923" s="1"/>
      <c r="D923" s="2"/>
      <c r="E923" s="2"/>
    </row>
    <row r="924" spans="2:5">
      <c r="B924" s="1"/>
      <c r="C924" s="1"/>
      <c r="D924" s="2"/>
      <c r="E924" s="2"/>
    </row>
    <row r="925" spans="2:5">
      <c r="B925" s="1"/>
      <c r="C925" s="1"/>
      <c r="D925" s="2"/>
      <c r="E925" s="2"/>
    </row>
    <row r="926" spans="2:5">
      <c r="B926" s="1"/>
      <c r="C926" s="1"/>
      <c r="D926" s="2"/>
      <c r="E926" s="2"/>
    </row>
    <row r="927" spans="2:5">
      <c r="B927" s="1"/>
      <c r="C927" s="1"/>
      <c r="D927" s="2"/>
      <c r="E927" s="2"/>
    </row>
    <row r="928" spans="2:5">
      <c r="B928" s="1"/>
      <c r="C928" s="1"/>
      <c r="D928" s="2"/>
      <c r="E928" s="2"/>
    </row>
    <row r="929" spans="2:5">
      <c r="B929" s="1"/>
      <c r="C929" s="1"/>
      <c r="D929" s="2"/>
      <c r="E929" s="2"/>
    </row>
    <row r="930" spans="2:5">
      <c r="B930" s="1"/>
      <c r="C930" s="1"/>
      <c r="D930" s="2"/>
      <c r="E930" s="2"/>
    </row>
    <row r="931" spans="2:5">
      <c r="B931" s="1"/>
      <c r="C931" s="1"/>
      <c r="D931" s="2"/>
      <c r="E931" s="2"/>
    </row>
    <row r="932" spans="2:5">
      <c r="B932" s="1"/>
      <c r="C932" s="1"/>
      <c r="D932" s="2"/>
      <c r="E932" s="2"/>
    </row>
    <row r="933" spans="2:5">
      <c r="B933" s="1"/>
      <c r="C933" s="1"/>
      <c r="D933" s="2"/>
      <c r="E933" s="2"/>
    </row>
    <row r="934" spans="2:5">
      <c r="B934" s="1"/>
      <c r="C934" s="1"/>
      <c r="D934" s="2"/>
      <c r="E934" s="2"/>
    </row>
    <row r="935" spans="2:5">
      <c r="B935" s="1"/>
      <c r="C935" s="1"/>
      <c r="D935" s="2"/>
      <c r="E935" s="2"/>
    </row>
    <row r="936" spans="2:5">
      <c r="B936" s="1"/>
      <c r="C936" s="1"/>
      <c r="D936" s="2"/>
      <c r="E936" s="2"/>
    </row>
    <row r="937" spans="2:5">
      <c r="B937" s="1"/>
      <c r="C937" s="1"/>
      <c r="D937" s="2"/>
      <c r="E937" s="2"/>
    </row>
    <row r="938" spans="2:5">
      <c r="B938" s="1"/>
      <c r="C938" s="1"/>
      <c r="D938" s="2"/>
      <c r="E938" s="2"/>
    </row>
    <row r="939" spans="2:5">
      <c r="B939" s="1"/>
      <c r="C939" s="1"/>
      <c r="D939" s="2"/>
      <c r="E939" s="2"/>
    </row>
    <row r="940" spans="2:5">
      <c r="B940" s="1"/>
      <c r="C940" s="1"/>
      <c r="D940" s="2"/>
      <c r="E940" s="2"/>
    </row>
    <row r="941" spans="2:5">
      <c r="B941" s="1"/>
      <c r="C941" s="1"/>
      <c r="D941" s="2"/>
      <c r="E941" s="2"/>
    </row>
    <row r="942" spans="2:5">
      <c r="B942" s="1"/>
      <c r="C942" s="1"/>
      <c r="D942" s="2"/>
      <c r="E942" s="2"/>
    </row>
    <row r="943" spans="2:5">
      <c r="B943" s="1"/>
      <c r="C943" s="1"/>
      <c r="D943" s="2"/>
      <c r="E943" s="2"/>
    </row>
    <row r="944" spans="2:5">
      <c r="B944" s="1"/>
      <c r="C944" s="1"/>
      <c r="D944" s="2"/>
      <c r="E944" s="2"/>
    </row>
    <row r="945" spans="2:5">
      <c r="B945" s="1"/>
      <c r="C945" s="1"/>
      <c r="D945" s="2"/>
      <c r="E945" s="2"/>
    </row>
    <row r="946" spans="2:5">
      <c r="B946" s="1"/>
      <c r="C946" s="1"/>
      <c r="D946" s="2"/>
      <c r="E946" s="2"/>
    </row>
    <row r="947" spans="2:5">
      <c r="B947" s="1"/>
      <c r="C947" s="1"/>
      <c r="D947" s="2"/>
      <c r="E947" s="2"/>
    </row>
    <row r="948" spans="2:5">
      <c r="B948" s="1"/>
      <c r="C948" s="1"/>
      <c r="D948" s="2"/>
      <c r="E948" s="2"/>
    </row>
    <row r="949" spans="2:5">
      <c r="B949" s="1"/>
      <c r="C949" s="1"/>
      <c r="D949" s="2"/>
      <c r="E949" s="2"/>
    </row>
    <row r="950" spans="2:5">
      <c r="B950" s="1"/>
      <c r="C950" s="1"/>
      <c r="D950" s="2"/>
      <c r="E950" s="2"/>
    </row>
    <row r="951" spans="2:5">
      <c r="B951" s="1"/>
      <c r="C951" s="1"/>
      <c r="D951" s="2"/>
      <c r="E951" s="2"/>
    </row>
    <row r="952" spans="2:5">
      <c r="B952" s="1"/>
      <c r="C952" s="1"/>
      <c r="D952" s="2"/>
      <c r="E952" s="2"/>
    </row>
    <row r="953" spans="2:5">
      <c r="B953" s="1"/>
      <c r="C953" s="1"/>
      <c r="D953" s="2"/>
      <c r="E953" s="2"/>
    </row>
    <row r="954" spans="2:5">
      <c r="B954" s="1"/>
      <c r="C954" s="1"/>
      <c r="D954" s="2"/>
      <c r="E954" s="2"/>
    </row>
    <row r="955" spans="2:5">
      <c r="B955" s="1"/>
      <c r="C955" s="1"/>
      <c r="D955" s="2"/>
      <c r="E955" s="2"/>
    </row>
    <row r="956" spans="2:5">
      <c r="B956" s="1"/>
      <c r="C956" s="1"/>
      <c r="D956" s="2"/>
      <c r="E956" s="2"/>
    </row>
    <row r="957" spans="2:5">
      <c r="B957" s="1"/>
      <c r="C957" s="1"/>
      <c r="D957" s="2"/>
      <c r="E957" s="2"/>
    </row>
    <row r="958" spans="2:5">
      <c r="B958" s="1"/>
      <c r="C958" s="1"/>
      <c r="D958" s="2"/>
      <c r="E958" s="2"/>
    </row>
    <row r="959" spans="2:5">
      <c r="B959" s="1"/>
      <c r="C959" s="1"/>
      <c r="D959" s="2"/>
      <c r="E959" s="2"/>
    </row>
    <row r="960" spans="2:5">
      <c r="B960" s="1"/>
      <c r="C960" s="1"/>
      <c r="D960" s="2"/>
      <c r="E960" s="2"/>
    </row>
    <row r="961" spans="2:5">
      <c r="B961" s="1"/>
      <c r="C961" s="1"/>
      <c r="D961" s="2"/>
      <c r="E961" s="2"/>
    </row>
    <row r="962" spans="2:5">
      <c r="B962" s="1"/>
      <c r="C962" s="1"/>
      <c r="D962" s="2"/>
      <c r="E962" s="2"/>
    </row>
    <row r="963" spans="2:5">
      <c r="B963" s="1"/>
      <c r="C963" s="1"/>
      <c r="D963" s="2"/>
      <c r="E963" s="2"/>
    </row>
    <row r="964" spans="2:5">
      <c r="B964" s="1"/>
      <c r="C964" s="1"/>
      <c r="D964" s="2"/>
      <c r="E964" s="2"/>
    </row>
    <row r="965" spans="2:5">
      <c r="B965" s="1"/>
      <c r="C965" s="1"/>
      <c r="D965" s="2"/>
      <c r="E965" s="2"/>
    </row>
    <row r="966" spans="2:5">
      <c r="B966" s="1"/>
      <c r="C966" s="1"/>
      <c r="D966" s="2"/>
      <c r="E966" s="2"/>
    </row>
    <row r="967" spans="2:5">
      <c r="B967" s="1"/>
      <c r="C967" s="1"/>
      <c r="D967" s="2"/>
      <c r="E967" s="2"/>
    </row>
    <row r="968" spans="2:5">
      <c r="B968" s="1"/>
      <c r="C968" s="1"/>
      <c r="D968" s="2"/>
      <c r="E968" s="2"/>
    </row>
    <row r="969" spans="2:5">
      <c r="B969" s="1"/>
      <c r="C969" s="1"/>
      <c r="D969" s="2"/>
      <c r="E969" s="2"/>
    </row>
    <row r="970" spans="2:5">
      <c r="B970" s="1"/>
      <c r="C970" s="1"/>
      <c r="D970" s="2"/>
      <c r="E970" s="2"/>
    </row>
    <row r="971" spans="2:5">
      <c r="B971" s="1"/>
      <c r="C971" s="1"/>
      <c r="D971" s="2"/>
      <c r="E971" s="2"/>
    </row>
    <row r="972" spans="2:5">
      <c r="B972" s="1"/>
      <c r="C972" s="1"/>
      <c r="D972" s="2"/>
      <c r="E972" s="2"/>
    </row>
    <row r="973" spans="2:5">
      <c r="B973" s="1"/>
      <c r="C973" s="1"/>
      <c r="D973" s="2"/>
      <c r="E973" s="2"/>
    </row>
    <row r="974" spans="2:5">
      <c r="B974" s="1"/>
      <c r="C974" s="1"/>
      <c r="D974" s="2"/>
      <c r="E974" s="2"/>
    </row>
    <row r="975" spans="2:5">
      <c r="B975" s="1"/>
      <c r="C975" s="1"/>
      <c r="D975" s="2"/>
      <c r="E975" s="2"/>
    </row>
    <row r="976" spans="2:5">
      <c r="B976" s="1"/>
      <c r="C976" s="1"/>
      <c r="D976" s="2"/>
      <c r="E976" s="2"/>
    </row>
    <row r="977" spans="2:5">
      <c r="B977" s="1"/>
      <c r="C977" s="1"/>
      <c r="D977" s="2"/>
      <c r="E977" s="2"/>
    </row>
    <row r="978" spans="2:5">
      <c r="B978" s="1"/>
      <c r="C978" s="1"/>
      <c r="D978" s="2"/>
      <c r="E978" s="2"/>
    </row>
    <row r="979" spans="2:5">
      <c r="B979" s="1"/>
      <c r="C979" s="1"/>
      <c r="D979" s="2"/>
      <c r="E979" s="2"/>
    </row>
    <row r="980" spans="2:5">
      <c r="B980" s="1"/>
      <c r="C980" s="1"/>
      <c r="D980" s="2"/>
      <c r="E980" s="2"/>
    </row>
    <row r="981" spans="2:5">
      <c r="B981" s="1"/>
      <c r="C981" s="1"/>
      <c r="D981" s="2"/>
      <c r="E981" s="2"/>
    </row>
    <row r="982" spans="2:5">
      <c r="B982" s="1"/>
      <c r="C982" s="1"/>
      <c r="D982" s="2"/>
      <c r="E982" s="2"/>
    </row>
    <row r="983" spans="2:5">
      <c r="B983" s="1"/>
      <c r="C983" s="1"/>
      <c r="D983" s="2"/>
      <c r="E983" s="2"/>
    </row>
    <row r="984" spans="2:5">
      <c r="B984" s="1"/>
      <c r="C984" s="1"/>
      <c r="D984" s="2"/>
      <c r="E984" s="2"/>
    </row>
    <row r="985" spans="2:5">
      <c r="B985" s="1"/>
      <c r="C985" s="1"/>
      <c r="D985" s="2"/>
      <c r="E985" s="2"/>
    </row>
    <row r="986" spans="2:5">
      <c r="B986" s="1"/>
      <c r="C986" s="1"/>
      <c r="D986" s="2"/>
      <c r="E986" s="2"/>
    </row>
    <row r="987" spans="2:5">
      <c r="B987" s="1"/>
      <c r="C987" s="1"/>
      <c r="D987" s="2"/>
      <c r="E987" s="2"/>
    </row>
    <row r="988" spans="2:5">
      <c r="B988" s="1"/>
      <c r="C988" s="1"/>
      <c r="D988" s="2"/>
      <c r="E988" s="2"/>
    </row>
    <row r="989" spans="2:5">
      <c r="B989" s="1"/>
      <c r="C989" s="1"/>
      <c r="D989" s="2"/>
      <c r="E989" s="2"/>
    </row>
    <row r="990" spans="2:5">
      <c r="B990" s="1"/>
      <c r="C990" s="1"/>
      <c r="D990" s="2"/>
      <c r="E990" s="2"/>
    </row>
    <row r="991" spans="2:5">
      <c r="B991" s="1"/>
      <c r="C991" s="1"/>
      <c r="D991" s="2"/>
      <c r="E991" s="2"/>
    </row>
    <row r="992" spans="2:5">
      <c r="B992" s="1"/>
      <c r="C992" s="1"/>
      <c r="D992" s="2"/>
      <c r="E992" s="2"/>
    </row>
    <row r="993" spans="2:5">
      <c r="B993" s="1"/>
      <c r="C993" s="1"/>
      <c r="D993" s="2"/>
      <c r="E993" s="2"/>
    </row>
    <row r="994" spans="2:5">
      <c r="B994" s="1"/>
      <c r="C994" s="1"/>
      <c r="D994" s="2"/>
      <c r="E994" s="2"/>
    </row>
    <row r="995" spans="2:5">
      <c r="B995" s="1"/>
      <c r="C995" s="1"/>
      <c r="D995" s="2"/>
      <c r="E995" s="2"/>
    </row>
    <row r="996" spans="2:5">
      <c r="B996" s="1"/>
      <c r="C996" s="1"/>
      <c r="D996" s="2"/>
      <c r="E996" s="2"/>
    </row>
    <row r="997" spans="2:5">
      <c r="B997" s="1"/>
      <c r="C997" s="1"/>
      <c r="D997" s="2"/>
      <c r="E997" s="2"/>
    </row>
    <row r="998" spans="2:5">
      <c r="B998" s="1"/>
      <c r="C998" s="1"/>
      <c r="D998" s="2"/>
      <c r="E998" s="2"/>
    </row>
    <row r="999" spans="2:5">
      <c r="B999" s="1"/>
      <c r="C999" s="1"/>
      <c r="D999" s="2"/>
      <c r="E999" s="2"/>
    </row>
    <row r="1000" spans="2:5">
      <c r="B1000" s="1"/>
      <c r="C1000" s="1"/>
      <c r="D1000" s="2"/>
      <c r="E1000" s="2"/>
    </row>
    <row r="1001" spans="2:5">
      <c r="B1001" s="1"/>
      <c r="C1001" s="1"/>
      <c r="D1001" s="2"/>
      <c r="E1001" s="2"/>
    </row>
  </sheetData>
  <mergeCells count="2">
    <mergeCell ref="B3:C3"/>
    <mergeCell ref="B16:C16"/>
  </mergeCells>
  <phoneticPr fontId="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999"/>
  <sheetViews>
    <sheetView showGridLines="0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I13" sqref="I13"/>
    </sheetView>
  </sheetViews>
  <sheetFormatPr defaultColWidth="11.25" defaultRowHeight="15.75" customHeight="1"/>
  <cols>
    <col min="1" max="1" width="18" customWidth="1"/>
    <col min="2" max="4" width="12" customWidth="1"/>
    <col min="5" max="5" width="10.5" customWidth="1"/>
    <col min="6" max="6" width="14" customWidth="1"/>
    <col min="7" max="7" width="31" customWidth="1"/>
    <col min="8" max="8" width="2.5" customWidth="1"/>
    <col min="9" max="208" width="4.25" customWidth="1"/>
  </cols>
  <sheetData>
    <row r="1" spans="1:208" ht="27.75" customHeight="1">
      <c r="A1" s="123" t="s">
        <v>56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208" ht="18" customHeight="1">
      <c r="A2" s="125"/>
      <c r="B2" s="124"/>
      <c r="C2" s="124"/>
      <c r="D2" s="124"/>
      <c r="E2" s="124"/>
      <c r="F2" s="124"/>
      <c r="G2" s="124"/>
      <c r="H2" s="124"/>
      <c r="I2" s="124"/>
      <c r="J2" s="124"/>
      <c r="M2" s="113" t="s">
        <v>57</v>
      </c>
      <c r="N2" s="126"/>
      <c r="O2" s="126"/>
      <c r="P2" s="126"/>
      <c r="Q2" s="126"/>
      <c r="R2" s="126"/>
      <c r="S2" s="114"/>
    </row>
    <row r="3" spans="1:208" ht="21.75" customHeight="1">
      <c r="A3" s="113" t="s">
        <v>58</v>
      </c>
      <c r="B3" s="114"/>
      <c r="C3" s="113" t="s">
        <v>59</v>
      </c>
      <c r="D3" s="114"/>
      <c r="E3" s="113" t="s">
        <v>60</v>
      </c>
      <c r="F3" s="114"/>
      <c r="G3" s="113" t="s">
        <v>61</v>
      </c>
      <c r="H3" s="114"/>
      <c r="I3" s="113" t="s">
        <v>62</v>
      </c>
      <c r="J3" s="114"/>
      <c r="M3" s="11" t="s">
        <v>63</v>
      </c>
      <c r="N3" s="11" t="s">
        <v>64</v>
      </c>
      <c r="O3" s="11" t="s">
        <v>65</v>
      </c>
      <c r="P3" s="12" t="s">
        <v>66</v>
      </c>
      <c r="Q3" s="12" t="s">
        <v>67</v>
      </c>
      <c r="R3" s="11" t="s">
        <v>68</v>
      </c>
      <c r="S3" s="11" t="s">
        <v>69</v>
      </c>
    </row>
    <row r="4" spans="1:208" ht="27.75" customHeight="1">
      <c r="A4" s="115">
        <f>N4</f>
        <v>107</v>
      </c>
      <c r="B4" s="116"/>
      <c r="C4" s="115">
        <f ca="1">N5</f>
        <v>0</v>
      </c>
      <c r="D4" s="116"/>
      <c r="E4" s="119">
        <f ca="1">IFERROR((SUM('3. 도서별 작업 현황'!$G$2:$G$500)+SUM('3. 도서별 작업 현황'!$L$2:$L$500)+SUM('3. 도서별 작업 현황'!$Q$2:$Q$500))/($N$5*3),0)</f>
        <v>0</v>
      </c>
      <c r="F4" s="116"/>
      <c r="G4" s="115">
        <f>S4</f>
        <v>0</v>
      </c>
      <c r="H4" s="116"/>
      <c r="I4" s="115">
        <f>MAX(0,N4-O4-S4)</f>
        <v>1</v>
      </c>
      <c r="J4" s="116"/>
      <c r="M4" s="13" t="s">
        <v>70</v>
      </c>
      <c r="N4" s="14">
        <f>COUNTIF('3. 도서별 작업 현황'!A2:A999,"&lt;&gt;")</f>
        <v>107</v>
      </c>
      <c r="O4" s="15">
        <f>COUNTIFS('3. 도서별 작업 현황'!A2:A999,"&lt;&gt;",'3. 도서별 작업 현황'!F2:F999,"",'3. 도서별 작업 현황'!K2:K999,"",'3. 도서별 작업 현황'!P2:P999,"")</f>
        <v>106</v>
      </c>
      <c r="P4" s="16"/>
      <c r="Q4" s="17"/>
      <c r="R4" s="18"/>
      <c r="S4" s="19"/>
    </row>
    <row r="5" spans="1:208" ht="24" customHeight="1">
      <c r="A5" s="117"/>
      <c r="B5" s="118"/>
      <c r="C5" s="117"/>
      <c r="D5" s="118"/>
      <c r="E5" s="117"/>
      <c r="F5" s="118"/>
      <c r="G5" s="117"/>
      <c r="H5" s="118"/>
      <c r="I5" s="117"/>
      <c r="J5" s="118"/>
      <c r="M5" s="13" t="s">
        <v>71</v>
      </c>
      <c r="N5" s="14">
        <f ca="1">SUMIF('3. 도서별 작업 현황'!C2:C999,"&gt;0")</f>
        <v>0</v>
      </c>
      <c r="O5" s="15" t="e">
        <f ca="1">SUMIFS('3. 도서별 작업 현황'!C2:C999,'3. 도서별 작업 현황'!F2:F999,"",'3. 도서별 작업 현황'!K2:K999,"",'3. 도서별 작업 현황'!P2:P999,"")</f>
        <v>#NAME?</v>
      </c>
      <c r="P5" s="16"/>
      <c r="Q5" s="17"/>
      <c r="R5" s="18"/>
      <c r="S5" s="19"/>
    </row>
    <row r="6" spans="1:208" ht="21.75" customHeight="1">
      <c r="H6" s="20"/>
    </row>
    <row r="7" spans="1:208" ht="21.75" customHeight="1">
      <c r="A7" s="11" t="s">
        <v>72</v>
      </c>
      <c r="B7" s="11" t="s">
        <v>73</v>
      </c>
      <c r="C7" s="11" t="s">
        <v>74</v>
      </c>
      <c r="D7" s="11" t="s">
        <v>75</v>
      </c>
      <c r="F7" s="120" t="s">
        <v>76</v>
      </c>
      <c r="G7" s="116"/>
      <c r="H7" s="21"/>
    </row>
    <row r="8" spans="1:208" ht="21.75" customHeight="1">
      <c r="A8" s="22" t="s">
        <v>66</v>
      </c>
      <c r="B8" s="23"/>
      <c r="C8" s="23"/>
      <c r="D8" s="24">
        <f t="shared" ref="D8:D10" ca="1" si="0">IFERROR(C8/$N$5,0)</f>
        <v>0</v>
      </c>
      <c r="F8" s="121"/>
      <c r="G8" s="122"/>
      <c r="H8" s="21"/>
    </row>
    <row r="9" spans="1:208" ht="21.75" customHeight="1">
      <c r="A9" s="25" t="s">
        <v>67</v>
      </c>
      <c r="B9" s="23"/>
      <c r="C9" s="23"/>
      <c r="D9" s="24">
        <f t="shared" ca="1" si="0"/>
        <v>0</v>
      </c>
      <c r="F9" s="121"/>
      <c r="G9" s="122"/>
      <c r="H9" s="21"/>
    </row>
    <row r="10" spans="1:208" ht="21.75" customHeight="1">
      <c r="A10" s="26" t="s">
        <v>68</v>
      </c>
      <c r="B10" s="23"/>
      <c r="C10" s="23"/>
      <c r="D10" s="24">
        <f t="shared" ca="1" si="0"/>
        <v>0</v>
      </c>
      <c r="F10" s="117"/>
      <c r="G10" s="118"/>
      <c r="H10" s="21"/>
    </row>
    <row r="11" spans="1:208" ht="18" customHeight="1">
      <c r="H11" s="27"/>
      <c r="I11" s="28" t="str">
        <f ca="1">TEXT(I12,"m월")</f>
        <v>3월</v>
      </c>
      <c r="J11" s="28" t="str">
        <f t="shared" ref="J11:GZ11" ca="1" si="1">IF(TEXT(J12,"yyyymm")=TEXT(I12,"yyyymm"),"",TEXT(J12,"m월"))</f>
        <v/>
      </c>
      <c r="K11" s="29" t="str">
        <f t="shared" ca="1" si="1"/>
        <v/>
      </c>
      <c r="L11" s="29" t="str">
        <f t="shared" ca="1" si="1"/>
        <v/>
      </c>
      <c r="M11" s="3" t="str">
        <f t="shared" ca="1" si="1"/>
        <v/>
      </c>
      <c r="N11" s="29" t="str">
        <f t="shared" ca="1" si="1"/>
        <v/>
      </c>
      <c r="O11" s="29" t="str">
        <f t="shared" ca="1" si="1"/>
        <v/>
      </c>
      <c r="P11" s="29" t="str">
        <f t="shared" ca="1" si="1"/>
        <v/>
      </c>
      <c r="Q11" s="29" t="str">
        <f t="shared" ca="1" si="1"/>
        <v/>
      </c>
      <c r="R11" s="29" t="str">
        <f t="shared" ca="1" si="1"/>
        <v/>
      </c>
      <c r="S11" s="29" t="str">
        <f t="shared" ca="1" si="1"/>
        <v/>
      </c>
      <c r="T11" s="29" t="str">
        <f t="shared" ca="1" si="1"/>
        <v/>
      </c>
      <c r="U11" s="29" t="str">
        <f t="shared" ca="1" si="1"/>
        <v/>
      </c>
      <c r="V11" s="29" t="str">
        <f t="shared" ca="1" si="1"/>
        <v/>
      </c>
      <c r="W11" s="29" t="str">
        <f t="shared" ca="1" si="1"/>
        <v/>
      </c>
      <c r="X11" s="29" t="str">
        <f t="shared" ca="1" si="1"/>
        <v/>
      </c>
      <c r="Y11" s="29" t="str">
        <f t="shared" ca="1" si="1"/>
        <v/>
      </c>
      <c r="Z11" s="29" t="str">
        <f t="shared" ca="1" si="1"/>
        <v/>
      </c>
      <c r="AA11" s="3" t="str">
        <f t="shared" ca="1" si="1"/>
        <v/>
      </c>
      <c r="AB11" s="29" t="str">
        <f t="shared" ca="1" si="1"/>
        <v/>
      </c>
      <c r="AC11" s="29" t="str">
        <f t="shared" ca="1" si="1"/>
        <v/>
      </c>
      <c r="AD11" s="29" t="str">
        <f t="shared" ca="1" si="1"/>
        <v/>
      </c>
      <c r="AE11" s="29" t="str">
        <f t="shared" ca="1" si="1"/>
        <v/>
      </c>
      <c r="AF11" s="29" t="str">
        <f t="shared" ca="1" si="1"/>
        <v>4월</v>
      </c>
      <c r="AG11" s="29" t="str">
        <f t="shared" ca="1" si="1"/>
        <v/>
      </c>
      <c r="AH11" s="29" t="str">
        <f t="shared" ca="1" si="1"/>
        <v/>
      </c>
      <c r="AI11" s="29" t="str">
        <f t="shared" ca="1" si="1"/>
        <v/>
      </c>
      <c r="AJ11" s="29" t="str">
        <f t="shared" ca="1" si="1"/>
        <v/>
      </c>
      <c r="AK11" s="29" t="str">
        <f t="shared" ca="1" si="1"/>
        <v/>
      </c>
      <c r="AL11" s="29" t="str">
        <f t="shared" ca="1" si="1"/>
        <v/>
      </c>
      <c r="AM11" s="29" t="str">
        <f t="shared" ca="1" si="1"/>
        <v/>
      </c>
      <c r="AN11" s="29" t="str">
        <f t="shared" ca="1" si="1"/>
        <v/>
      </c>
      <c r="AO11" s="29" t="str">
        <f t="shared" ca="1" si="1"/>
        <v/>
      </c>
      <c r="AP11" s="29" t="str">
        <f t="shared" ca="1" si="1"/>
        <v/>
      </c>
      <c r="AQ11" s="29" t="str">
        <f t="shared" ca="1" si="1"/>
        <v/>
      </c>
      <c r="AR11" s="29" t="str">
        <f t="shared" ca="1" si="1"/>
        <v/>
      </c>
      <c r="AS11" s="29" t="str">
        <f t="shared" ca="1" si="1"/>
        <v/>
      </c>
      <c r="AT11" s="29" t="str">
        <f t="shared" ca="1" si="1"/>
        <v/>
      </c>
      <c r="AU11" s="29" t="str">
        <f t="shared" ca="1" si="1"/>
        <v/>
      </c>
      <c r="AV11" s="29" t="str">
        <f t="shared" ca="1" si="1"/>
        <v/>
      </c>
      <c r="AW11" s="29" t="str">
        <f t="shared" ca="1" si="1"/>
        <v/>
      </c>
      <c r="AX11" s="29" t="str">
        <f t="shared" ca="1" si="1"/>
        <v/>
      </c>
      <c r="AY11" s="29" t="str">
        <f t="shared" ca="1" si="1"/>
        <v/>
      </c>
      <c r="AZ11" s="29" t="str">
        <f t="shared" ca="1" si="1"/>
        <v/>
      </c>
      <c r="BA11" s="29" t="str">
        <f t="shared" ca="1" si="1"/>
        <v/>
      </c>
      <c r="BB11" s="29" t="str">
        <f t="shared" ca="1" si="1"/>
        <v/>
      </c>
      <c r="BC11" s="29" t="str">
        <f t="shared" ca="1" si="1"/>
        <v/>
      </c>
      <c r="BD11" s="29" t="str">
        <f t="shared" ca="1" si="1"/>
        <v/>
      </c>
      <c r="BE11" s="29" t="str">
        <f t="shared" ca="1" si="1"/>
        <v/>
      </c>
      <c r="BF11" s="29" t="str">
        <f t="shared" ca="1" si="1"/>
        <v/>
      </c>
      <c r="BG11" s="29" t="str">
        <f t="shared" ca="1" si="1"/>
        <v/>
      </c>
      <c r="BH11" s="29" t="str">
        <f t="shared" ca="1" si="1"/>
        <v/>
      </c>
      <c r="BI11" s="29" t="str">
        <f t="shared" ca="1" si="1"/>
        <v/>
      </c>
      <c r="BJ11" s="29" t="str">
        <f t="shared" ca="1" si="1"/>
        <v>5월</v>
      </c>
      <c r="BK11" s="29" t="str">
        <f t="shared" ca="1" si="1"/>
        <v/>
      </c>
      <c r="BL11" s="29" t="str">
        <f t="shared" ca="1" si="1"/>
        <v/>
      </c>
      <c r="BM11" s="29" t="str">
        <f t="shared" ca="1" si="1"/>
        <v/>
      </c>
      <c r="BN11" s="29" t="str">
        <f t="shared" ca="1" si="1"/>
        <v/>
      </c>
      <c r="BO11" s="29" t="str">
        <f t="shared" ca="1" si="1"/>
        <v/>
      </c>
      <c r="BP11" s="29" t="str">
        <f t="shared" ca="1" si="1"/>
        <v/>
      </c>
      <c r="BQ11" s="29" t="str">
        <f t="shared" ca="1" si="1"/>
        <v/>
      </c>
      <c r="BR11" s="29" t="str">
        <f t="shared" ca="1" si="1"/>
        <v/>
      </c>
      <c r="BS11" s="29" t="str">
        <f t="shared" ca="1" si="1"/>
        <v/>
      </c>
      <c r="BT11" s="29" t="str">
        <f t="shared" ca="1" si="1"/>
        <v/>
      </c>
      <c r="BU11" s="29" t="str">
        <f t="shared" ca="1" si="1"/>
        <v/>
      </c>
      <c r="BV11" s="29" t="str">
        <f t="shared" ca="1" si="1"/>
        <v/>
      </c>
      <c r="BW11" s="29" t="str">
        <f t="shared" ca="1" si="1"/>
        <v/>
      </c>
      <c r="BX11" s="29" t="str">
        <f t="shared" ca="1" si="1"/>
        <v/>
      </c>
      <c r="BY11" s="29" t="str">
        <f t="shared" ca="1" si="1"/>
        <v/>
      </c>
      <c r="BZ11" s="29" t="str">
        <f t="shared" ca="1" si="1"/>
        <v/>
      </c>
      <c r="CA11" s="29" t="str">
        <f t="shared" ca="1" si="1"/>
        <v/>
      </c>
      <c r="CB11" s="29" t="str">
        <f t="shared" ca="1" si="1"/>
        <v/>
      </c>
      <c r="CC11" s="29" t="str">
        <f t="shared" ca="1" si="1"/>
        <v/>
      </c>
      <c r="CD11" s="29" t="str">
        <f t="shared" ca="1" si="1"/>
        <v/>
      </c>
      <c r="CE11" s="29" t="str">
        <f t="shared" ca="1" si="1"/>
        <v/>
      </c>
      <c r="CF11" s="29" t="str">
        <f t="shared" ca="1" si="1"/>
        <v/>
      </c>
      <c r="CG11" s="29" t="str">
        <f t="shared" ca="1" si="1"/>
        <v/>
      </c>
      <c r="CH11" s="29" t="str">
        <f t="shared" ca="1" si="1"/>
        <v/>
      </c>
      <c r="CI11" s="29" t="str">
        <f t="shared" ca="1" si="1"/>
        <v/>
      </c>
      <c r="CJ11" s="29" t="str">
        <f t="shared" ca="1" si="1"/>
        <v/>
      </c>
      <c r="CK11" s="29" t="str">
        <f t="shared" ca="1" si="1"/>
        <v/>
      </c>
      <c r="CL11" s="29" t="str">
        <f t="shared" ca="1" si="1"/>
        <v/>
      </c>
      <c r="CM11" s="29" t="str">
        <f t="shared" ca="1" si="1"/>
        <v/>
      </c>
      <c r="CN11" s="29" t="str">
        <f t="shared" ca="1" si="1"/>
        <v/>
      </c>
      <c r="CO11" s="29" t="str">
        <f t="shared" ca="1" si="1"/>
        <v>6월</v>
      </c>
      <c r="CP11" s="29" t="str">
        <f t="shared" ca="1" si="1"/>
        <v/>
      </c>
      <c r="CQ11" s="29" t="str">
        <f t="shared" ca="1" si="1"/>
        <v/>
      </c>
      <c r="CR11" s="29" t="str">
        <f t="shared" ca="1" si="1"/>
        <v/>
      </c>
      <c r="CS11" s="29" t="str">
        <f t="shared" ca="1" si="1"/>
        <v/>
      </c>
      <c r="CT11" s="29" t="str">
        <f t="shared" ca="1" si="1"/>
        <v/>
      </c>
      <c r="CU11" s="29" t="str">
        <f t="shared" ca="1" si="1"/>
        <v/>
      </c>
      <c r="CV11" s="29" t="str">
        <f t="shared" ca="1" si="1"/>
        <v/>
      </c>
      <c r="CW11" s="29" t="str">
        <f t="shared" ca="1" si="1"/>
        <v/>
      </c>
      <c r="CX11" s="29" t="str">
        <f t="shared" ca="1" si="1"/>
        <v/>
      </c>
      <c r="CY11" s="29" t="str">
        <f t="shared" ca="1" si="1"/>
        <v/>
      </c>
      <c r="CZ11" s="29" t="str">
        <f t="shared" ca="1" si="1"/>
        <v/>
      </c>
      <c r="DA11" s="29" t="str">
        <f t="shared" ca="1" si="1"/>
        <v/>
      </c>
      <c r="DB11" s="29" t="str">
        <f t="shared" ca="1" si="1"/>
        <v/>
      </c>
      <c r="DC11" s="29" t="str">
        <f t="shared" ca="1" si="1"/>
        <v/>
      </c>
      <c r="DD11" s="29" t="str">
        <f t="shared" ca="1" si="1"/>
        <v/>
      </c>
      <c r="DE11" s="29" t="str">
        <f t="shared" ca="1" si="1"/>
        <v/>
      </c>
      <c r="DF11" s="29" t="str">
        <f t="shared" ca="1" si="1"/>
        <v/>
      </c>
      <c r="DG11" s="29" t="str">
        <f t="shared" ca="1" si="1"/>
        <v/>
      </c>
      <c r="DH11" s="29" t="str">
        <f t="shared" ca="1" si="1"/>
        <v/>
      </c>
      <c r="DI11" s="29" t="str">
        <f t="shared" ca="1" si="1"/>
        <v/>
      </c>
      <c r="DJ11" s="29" t="str">
        <f t="shared" ca="1" si="1"/>
        <v/>
      </c>
      <c r="DK11" s="29" t="str">
        <f t="shared" ca="1" si="1"/>
        <v/>
      </c>
      <c r="DL11" s="29" t="str">
        <f t="shared" ca="1" si="1"/>
        <v/>
      </c>
      <c r="DM11" s="29" t="str">
        <f t="shared" ca="1" si="1"/>
        <v/>
      </c>
      <c r="DN11" s="29" t="str">
        <f t="shared" ca="1" si="1"/>
        <v/>
      </c>
      <c r="DO11" s="29" t="str">
        <f t="shared" ca="1" si="1"/>
        <v/>
      </c>
      <c r="DP11" s="29" t="str">
        <f t="shared" ca="1" si="1"/>
        <v/>
      </c>
      <c r="DQ11" s="29" t="str">
        <f t="shared" ca="1" si="1"/>
        <v/>
      </c>
      <c r="DR11" s="29" t="str">
        <f t="shared" ca="1" si="1"/>
        <v/>
      </c>
      <c r="DS11" s="29" t="str">
        <f t="shared" ca="1" si="1"/>
        <v>7월</v>
      </c>
      <c r="DT11" s="29" t="str">
        <f t="shared" ca="1" si="1"/>
        <v/>
      </c>
      <c r="DU11" s="29" t="str">
        <f t="shared" ca="1" si="1"/>
        <v/>
      </c>
      <c r="DV11" s="29" t="str">
        <f t="shared" ca="1" si="1"/>
        <v/>
      </c>
      <c r="DW11" s="29" t="str">
        <f t="shared" ca="1" si="1"/>
        <v/>
      </c>
      <c r="DX11" s="29" t="str">
        <f t="shared" ca="1" si="1"/>
        <v/>
      </c>
      <c r="DY11" s="29" t="str">
        <f t="shared" ca="1" si="1"/>
        <v/>
      </c>
      <c r="DZ11" s="29" t="str">
        <f t="shared" ca="1" si="1"/>
        <v/>
      </c>
      <c r="EA11" s="29" t="str">
        <f t="shared" ca="1" si="1"/>
        <v/>
      </c>
      <c r="EB11" s="29" t="str">
        <f t="shared" ca="1" si="1"/>
        <v/>
      </c>
      <c r="EC11" s="29" t="str">
        <f t="shared" ca="1" si="1"/>
        <v/>
      </c>
      <c r="ED11" s="29" t="str">
        <f t="shared" ca="1" si="1"/>
        <v/>
      </c>
      <c r="EE11" s="29" t="str">
        <f t="shared" ca="1" si="1"/>
        <v/>
      </c>
      <c r="EF11" s="29" t="str">
        <f t="shared" ca="1" si="1"/>
        <v/>
      </c>
      <c r="EG11" s="29" t="str">
        <f t="shared" ca="1" si="1"/>
        <v/>
      </c>
      <c r="EH11" s="29" t="str">
        <f t="shared" ca="1" si="1"/>
        <v/>
      </c>
      <c r="EI11" s="29" t="str">
        <f t="shared" ca="1" si="1"/>
        <v/>
      </c>
      <c r="EJ11" s="29" t="str">
        <f t="shared" ca="1" si="1"/>
        <v/>
      </c>
      <c r="EK11" s="29" t="str">
        <f t="shared" ca="1" si="1"/>
        <v/>
      </c>
      <c r="EL11" s="29" t="str">
        <f t="shared" ca="1" si="1"/>
        <v/>
      </c>
      <c r="EM11" s="29" t="str">
        <f t="shared" ca="1" si="1"/>
        <v/>
      </c>
      <c r="EN11" s="29" t="str">
        <f t="shared" ca="1" si="1"/>
        <v/>
      </c>
      <c r="EO11" s="29" t="str">
        <f t="shared" ca="1" si="1"/>
        <v/>
      </c>
      <c r="EP11" s="29" t="str">
        <f t="shared" ca="1" si="1"/>
        <v/>
      </c>
      <c r="EQ11" s="29" t="str">
        <f t="shared" ca="1" si="1"/>
        <v/>
      </c>
      <c r="ER11" s="29" t="str">
        <f t="shared" ca="1" si="1"/>
        <v/>
      </c>
      <c r="ES11" s="29" t="str">
        <f t="shared" ca="1" si="1"/>
        <v/>
      </c>
      <c r="ET11" s="29" t="str">
        <f t="shared" ca="1" si="1"/>
        <v/>
      </c>
      <c r="EU11" s="29" t="str">
        <f t="shared" ca="1" si="1"/>
        <v/>
      </c>
      <c r="EV11" s="29" t="str">
        <f t="shared" ca="1" si="1"/>
        <v/>
      </c>
      <c r="EW11" s="29" t="str">
        <f t="shared" ca="1" si="1"/>
        <v/>
      </c>
      <c r="EX11" s="29" t="str">
        <f t="shared" ca="1" si="1"/>
        <v>8월</v>
      </c>
      <c r="EY11" s="29" t="str">
        <f t="shared" ca="1" si="1"/>
        <v/>
      </c>
      <c r="EZ11" s="29" t="str">
        <f t="shared" ca="1" si="1"/>
        <v/>
      </c>
      <c r="FA11" s="29" t="str">
        <f t="shared" ca="1" si="1"/>
        <v/>
      </c>
      <c r="FB11" s="29" t="str">
        <f t="shared" ca="1" si="1"/>
        <v/>
      </c>
      <c r="FC11" s="29" t="str">
        <f t="shared" ca="1" si="1"/>
        <v/>
      </c>
      <c r="FD11" s="29" t="str">
        <f t="shared" ca="1" si="1"/>
        <v/>
      </c>
      <c r="FE11" s="29" t="str">
        <f t="shared" ca="1" si="1"/>
        <v/>
      </c>
      <c r="FF11" s="29" t="str">
        <f t="shared" ca="1" si="1"/>
        <v/>
      </c>
      <c r="FG11" s="29" t="str">
        <f t="shared" ca="1" si="1"/>
        <v/>
      </c>
      <c r="FH11" s="29" t="str">
        <f t="shared" ca="1" si="1"/>
        <v/>
      </c>
      <c r="FI11" s="29" t="str">
        <f t="shared" ca="1" si="1"/>
        <v/>
      </c>
      <c r="FJ11" s="29" t="str">
        <f t="shared" ca="1" si="1"/>
        <v/>
      </c>
      <c r="FK11" s="29" t="str">
        <f t="shared" ca="1" si="1"/>
        <v/>
      </c>
      <c r="FL11" s="29" t="str">
        <f t="shared" ca="1" si="1"/>
        <v/>
      </c>
      <c r="FM11" s="29" t="str">
        <f t="shared" ca="1" si="1"/>
        <v/>
      </c>
      <c r="FN11" s="29" t="str">
        <f t="shared" ca="1" si="1"/>
        <v/>
      </c>
      <c r="FO11" s="29" t="str">
        <f t="shared" ca="1" si="1"/>
        <v/>
      </c>
      <c r="FP11" s="29" t="str">
        <f t="shared" ca="1" si="1"/>
        <v/>
      </c>
      <c r="FQ11" s="29" t="str">
        <f t="shared" ca="1" si="1"/>
        <v/>
      </c>
      <c r="FR11" s="29" t="str">
        <f t="shared" ca="1" si="1"/>
        <v/>
      </c>
      <c r="FS11" s="29" t="str">
        <f t="shared" ca="1" si="1"/>
        <v/>
      </c>
      <c r="FT11" s="29" t="str">
        <f t="shared" ca="1" si="1"/>
        <v/>
      </c>
      <c r="FU11" s="29" t="str">
        <f t="shared" ca="1" si="1"/>
        <v/>
      </c>
      <c r="FV11" s="29" t="str">
        <f t="shared" ca="1" si="1"/>
        <v/>
      </c>
      <c r="FW11" s="29" t="str">
        <f t="shared" ca="1" si="1"/>
        <v/>
      </c>
      <c r="FX11" s="29" t="str">
        <f t="shared" ca="1" si="1"/>
        <v/>
      </c>
      <c r="FY11" s="29" t="str">
        <f t="shared" ca="1" si="1"/>
        <v/>
      </c>
      <c r="FZ11" s="29" t="str">
        <f t="shared" ca="1" si="1"/>
        <v/>
      </c>
      <c r="GA11" s="29" t="str">
        <f t="shared" ca="1" si="1"/>
        <v/>
      </c>
      <c r="GB11" s="29" t="str">
        <f t="shared" ca="1" si="1"/>
        <v/>
      </c>
      <c r="GC11" s="29" t="str">
        <f t="shared" ca="1" si="1"/>
        <v>9월</v>
      </c>
      <c r="GD11" s="29" t="str">
        <f t="shared" ca="1" si="1"/>
        <v/>
      </c>
      <c r="GE11" s="29" t="str">
        <f t="shared" ca="1" si="1"/>
        <v/>
      </c>
      <c r="GF11" s="29" t="str">
        <f t="shared" ca="1" si="1"/>
        <v/>
      </c>
      <c r="GG11" s="29" t="str">
        <f t="shared" ca="1" si="1"/>
        <v/>
      </c>
      <c r="GH11" s="29" t="str">
        <f t="shared" ca="1" si="1"/>
        <v/>
      </c>
      <c r="GI11" s="29" t="str">
        <f t="shared" ca="1" si="1"/>
        <v/>
      </c>
      <c r="GJ11" s="29" t="str">
        <f t="shared" ca="1" si="1"/>
        <v/>
      </c>
      <c r="GK11" s="29" t="str">
        <f t="shared" ca="1" si="1"/>
        <v/>
      </c>
      <c r="GL11" s="29" t="str">
        <f t="shared" ca="1" si="1"/>
        <v/>
      </c>
      <c r="GM11" s="29" t="str">
        <f t="shared" ca="1" si="1"/>
        <v/>
      </c>
      <c r="GN11" s="29" t="str">
        <f t="shared" ca="1" si="1"/>
        <v/>
      </c>
      <c r="GO11" s="29" t="str">
        <f t="shared" ca="1" si="1"/>
        <v/>
      </c>
      <c r="GP11" s="29" t="str">
        <f t="shared" ca="1" si="1"/>
        <v/>
      </c>
      <c r="GQ11" s="29" t="str">
        <f t="shared" ca="1" si="1"/>
        <v/>
      </c>
      <c r="GR11" s="29" t="str">
        <f t="shared" ca="1" si="1"/>
        <v/>
      </c>
      <c r="GS11" s="29" t="str">
        <f t="shared" ca="1" si="1"/>
        <v/>
      </c>
      <c r="GT11" s="29" t="str">
        <f t="shared" ca="1" si="1"/>
        <v/>
      </c>
      <c r="GU11" s="29" t="str">
        <f t="shared" ca="1" si="1"/>
        <v/>
      </c>
      <c r="GV11" s="29" t="str">
        <f t="shared" ca="1" si="1"/>
        <v/>
      </c>
      <c r="GW11" s="29" t="str">
        <f t="shared" ca="1" si="1"/>
        <v/>
      </c>
      <c r="GX11" s="29" t="str">
        <f t="shared" ca="1" si="1"/>
        <v/>
      </c>
      <c r="GY11" s="29" t="str">
        <f t="shared" ca="1" si="1"/>
        <v/>
      </c>
      <c r="GZ11" s="29" t="str">
        <f t="shared" ca="1" si="1"/>
        <v/>
      </c>
    </row>
    <row r="12" spans="1:208" ht="21.75" customHeight="1">
      <c r="A12" s="30" t="s">
        <v>77</v>
      </c>
      <c r="B12" s="31" t="s">
        <v>78</v>
      </c>
      <c r="C12" s="31" t="s">
        <v>79</v>
      </c>
      <c r="D12" s="31" t="s">
        <v>80</v>
      </c>
      <c r="E12" s="31" t="s">
        <v>72</v>
      </c>
      <c r="F12" s="31" t="s">
        <v>81</v>
      </c>
      <c r="G12" s="32" t="s">
        <v>82</v>
      </c>
      <c r="H12" s="33"/>
      <c r="I12" s="34">
        <f ca="1">IF(COUNT($C$13:$C$37)=0,TODAY()-WEEKDAY(TODAY(),2)+1,MIN($C$13:$C$37)-WEEKDAY(MIN($C$13:$C$37),2)+1)</f>
        <v>46090</v>
      </c>
      <c r="J12" s="34">
        <f t="shared" ref="J12:GZ12" ca="1" si="2">I12+1</f>
        <v>46091</v>
      </c>
      <c r="K12" s="34">
        <f t="shared" ca="1" si="2"/>
        <v>46092</v>
      </c>
      <c r="L12" s="34">
        <f t="shared" ca="1" si="2"/>
        <v>46093</v>
      </c>
      <c r="M12" s="34">
        <f t="shared" ca="1" si="2"/>
        <v>46094</v>
      </c>
      <c r="N12" s="34">
        <f t="shared" ca="1" si="2"/>
        <v>46095</v>
      </c>
      <c r="O12" s="34">
        <f t="shared" ca="1" si="2"/>
        <v>46096</v>
      </c>
      <c r="P12" s="34">
        <f t="shared" ca="1" si="2"/>
        <v>46097</v>
      </c>
      <c r="Q12" s="34">
        <f t="shared" ca="1" si="2"/>
        <v>46098</v>
      </c>
      <c r="R12" s="34">
        <f t="shared" ca="1" si="2"/>
        <v>46099</v>
      </c>
      <c r="S12" s="34">
        <f t="shared" ca="1" si="2"/>
        <v>46100</v>
      </c>
      <c r="T12" s="34">
        <f t="shared" ca="1" si="2"/>
        <v>46101</v>
      </c>
      <c r="U12" s="34">
        <f t="shared" ca="1" si="2"/>
        <v>46102</v>
      </c>
      <c r="V12" s="34">
        <f t="shared" ca="1" si="2"/>
        <v>46103</v>
      </c>
      <c r="W12" s="34">
        <f t="shared" ca="1" si="2"/>
        <v>46104</v>
      </c>
      <c r="X12" s="34">
        <f t="shared" ca="1" si="2"/>
        <v>46105</v>
      </c>
      <c r="Y12" s="34">
        <f t="shared" ca="1" si="2"/>
        <v>46106</v>
      </c>
      <c r="Z12" s="34">
        <f t="shared" ca="1" si="2"/>
        <v>46107</v>
      </c>
      <c r="AA12" s="34">
        <f t="shared" ca="1" si="2"/>
        <v>46108</v>
      </c>
      <c r="AB12" s="34">
        <f t="shared" ca="1" si="2"/>
        <v>46109</v>
      </c>
      <c r="AC12" s="34">
        <f t="shared" ca="1" si="2"/>
        <v>46110</v>
      </c>
      <c r="AD12" s="34">
        <f t="shared" ca="1" si="2"/>
        <v>46111</v>
      </c>
      <c r="AE12" s="34">
        <f t="shared" ca="1" si="2"/>
        <v>46112</v>
      </c>
      <c r="AF12" s="34">
        <f t="shared" ca="1" si="2"/>
        <v>46113</v>
      </c>
      <c r="AG12" s="34">
        <f t="shared" ca="1" si="2"/>
        <v>46114</v>
      </c>
      <c r="AH12" s="34">
        <f t="shared" ca="1" si="2"/>
        <v>46115</v>
      </c>
      <c r="AI12" s="34">
        <f t="shared" ca="1" si="2"/>
        <v>46116</v>
      </c>
      <c r="AJ12" s="34">
        <f t="shared" ca="1" si="2"/>
        <v>46117</v>
      </c>
      <c r="AK12" s="34">
        <f t="shared" ca="1" si="2"/>
        <v>46118</v>
      </c>
      <c r="AL12" s="34">
        <f t="shared" ca="1" si="2"/>
        <v>46119</v>
      </c>
      <c r="AM12" s="34">
        <f t="shared" ca="1" si="2"/>
        <v>46120</v>
      </c>
      <c r="AN12" s="34">
        <f t="shared" ca="1" si="2"/>
        <v>46121</v>
      </c>
      <c r="AO12" s="34">
        <f t="shared" ca="1" si="2"/>
        <v>46122</v>
      </c>
      <c r="AP12" s="34">
        <f t="shared" ca="1" si="2"/>
        <v>46123</v>
      </c>
      <c r="AQ12" s="34">
        <f t="shared" ca="1" si="2"/>
        <v>46124</v>
      </c>
      <c r="AR12" s="34">
        <f t="shared" ca="1" si="2"/>
        <v>46125</v>
      </c>
      <c r="AS12" s="34">
        <f t="shared" ca="1" si="2"/>
        <v>46126</v>
      </c>
      <c r="AT12" s="34">
        <f t="shared" ca="1" si="2"/>
        <v>46127</v>
      </c>
      <c r="AU12" s="34">
        <f t="shared" ca="1" si="2"/>
        <v>46128</v>
      </c>
      <c r="AV12" s="34">
        <f t="shared" ca="1" si="2"/>
        <v>46129</v>
      </c>
      <c r="AW12" s="34">
        <f t="shared" ca="1" si="2"/>
        <v>46130</v>
      </c>
      <c r="AX12" s="34">
        <f t="shared" ca="1" si="2"/>
        <v>46131</v>
      </c>
      <c r="AY12" s="34">
        <f t="shared" ca="1" si="2"/>
        <v>46132</v>
      </c>
      <c r="AZ12" s="34">
        <f t="shared" ca="1" si="2"/>
        <v>46133</v>
      </c>
      <c r="BA12" s="34">
        <f t="shared" ca="1" si="2"/>
        <v>46134</v>
      </c>
      <c r="BB12" s="34">
        <f t="shared" ca="1" si="2"/>
        <v>46135</v>
      </c>
      <c r="BC12" s="34">
        <f t="shared" ca="1" si="2"/>
        <v>46136</v>
      </c>
      <c r="BD12" s="34">
        <f t="shared" ca="1" si="2"/>
        <v>46137</v>
      </c>
      <c r="BE12" s="34">
        <f t="shared" ca="1" si="2"/>
        <v>46138</v>
      </c>
      <c r="BF12" s="34">
        <f t="shared" ca="1" si="2"/>
        <v>46139</v>
      </c>
      <c r="BG12" s="34">
        <f t="shared" ca="1" si="2"/>
        <v>46140</v>
      </c>
      <c r="BH12" s="34">
        <f t="shared" ca="1" si="2"/>
        <v>46141</v>
      </c>
      <c r="BI12" s="34">
        <f t="shared" ca="1" si="2"/>
        <v>46142</v>
      </c>
      <c r="BJ12" s="34">
        <f t="shared" ca="1" si="2"/>
        <v>46143</v>
      </c>
      <c r="BK12" s="34">
        <f t="shared" ca="1" si="2"/>
        <v>46144</v>
      </c>
      <c r="BL12" s="34">
        <f t="shared" ca="1" si="2"/>
        <v>46145</v>
      </c>
      <c r="BM12" s="34">
        <f t="shared" ca="1" si="2"/>
        <v>46146</v>
      </c>
      <c r="BN12" s="34">
        <f t="shared" ca="1" si="2"/>
        <v>46147</v>
      </c>
      <c r="BO12" s="34">
        <f t="shared" ca="1" si="2"/>
        <v>46148</v>
      </c>
      <c r="BP12" s="34">
        <f t="shared" ca="1" si="2"/>
        <v>46149</v>
      </c>
      <c r="BQ12" s="34">
        <f t="shared" ca="1" si="2"/>
        <v>46150</v>
      </c>
      <c r="BR12" s="34">
        <f t="shared" ca="1" si="2"/>
        <v>46151</v>
      </c>
      <c r="BS12" s="34">
        <f t="shared" ca="1" si="2"/>
        <v>46152</v>
      </c>
      <c r="BT12" s="34">
        <f t="shared" ca="1" si="2"/>
        <v>46153</v>
      </c>
      <c r="BU12" s="34">
        <f t="shared" ca="1" si="2"/>
        <v>46154</v>
      </c>
      <c r="BV12" s="34">
        <f t="shared" ca="1" si="2"/>
        <v>46155</v>
      </c>
      <c r="BW12" s="34">
        <f t="shared" ca="1" si="2"/>
        <v>46156</v>
      </c>
      <c r="BX12" s="34">
        <f t="shared" ca="1" si="2"/>
        <v>46157</v>
      </c>
      <c r="BY12" s="34">
        <f t="shared" ca="1" si="2"/>
        <v>46158</v>
      </c>
      <c r="BZ12" s="34">
        <f t="shared" ca="1" si="2"/>
        <v>46159</v>
      </c>
      <c r="CA12" s="34">
        <f t="shared" ca="1" si="2"/>
        <v>46160</v>
      </c>
      <c r="CB12" s="34">
        <f t="shared" ca="1" si="2"/>
        <v>46161</v>
      </c>
      <c r="CC12" s="34">
        <f t="shared" ca="1" si="2"/>
        <v>46162</v>
      </c>
      <c r="CD12" s="34">
        <f t="shared" ca="1" si="2"/>
        <v>46163</v>
      </c>
      <c r="CE12" s="34">
        <f t="shared" ca="1" si="2"/>
        <v>46164</v>
      </c>
      <c r="CF12" s="34">
        <f t="shared" ca="1" si="2"/>
        <v>46165</v>
      </c>
      <c r="CG12" s="34">
        <f t="shared" ca="1" si="2"/>
        <v>46166</v>
      </c>
      <c r="CH12" s="34">
        <f t="shared" ca="1" si="2"/>
        <v>46167</v>
      </c>
      <c r="CI12" s="34">
        <f t="shared" ca="1" si="2"/>
        <v>46168</v>
      </c>
      <c r="CJ12" s="34">
        <f t="shared" ca="1" si="2"/>
        <v>46169</v>
      </c>
      <c r="CK12" s="34">
        <f t="shared" ca="1" si="2"/>
        <v>46170</v>
      </c>
      <c r="CL12" s="34">
        <f t="shared" ca="1" si="2"/>
        <v>46171</v>
      </c>
      <c r="CM12" s="34">
        <f t="shared" ca="1" si="2"/>
        <v>46172</v>
      </c>
      <c r="CN12" s="34">
        <f t="shared" ca="1" si="2"/>
        <v>46173</v>
      </c>
      <c r="CO12" s="34">
        <f t="shared" ca="1" si="2"/>
        <v>46174</v>
      </c>
      <c r="CP12" s="34">
        <f t="shared" ca="1" si="2"/>
        <v>46175</v>
      </c>
      <c r="CQ12" s="34">
        <f t="shared" ca="1" si="2"/>
        <v>46176</v>
      </c>
      <c r="CR12" s="34">
        <f t="shared" ca="1" si="2"/>
        <v>46177</v>
      </c>
      <c r="CS12" s="34">
        <f t="shared" ca="1" si="2"/>
        <v>46178</v>
      </c>
      <c r="CT12" s="34">
        <f t="shared" ca="1" si="2"/>
        <v>46179</v>
      </c>
      <c r="CU12" s="34">
        <f t="shared" ca="1" si="2"/>
        <v>46180</v>
      </c>
      <c r="CV12" s="34">
        <f t="shared" ca="1" si="2"/>
        <v>46181</v>
      </c>
      <c r="CW12" s="34">
        <f t="shared" ca="1" si="2"/>
        <v>46182</v>
      </c>
      <c r="CX12" s="34">
        <f t="shared" ca="1" si="2"/>
        <v>46183</v>
      </c>
      <c r="CY12" s="34">
        <f t="shared" ca="1" si="2"/>
        <v>46184</v>
      </c>
      <c r="CZ12" s="34">
        <f t="shared" ca="1" si="2"/>
        <v>46185</v>
      </c>
      <c r="DA12" s="34">
        <f t="shared" ca="1" si="2"/>
        <v>46186</v>
      </c>
      <c r="DB12" s="34">
        <f t="shared" ca="1" si="2"/>
        <v>46187</v>
      </c>
      <c r="DC12" s="34">
        <f t="shared" ca="1" si="2"/>
        <v>46188</v>
      </c>
      <c r="DD12" s="34">
        <f t="shared" ca="1" si="2"/>
        <v>46189</v>
      </c>
      <c r="DE12" s="34">
        <f t="shared" ca="1" si="2"/>
        <v>46190</v>
      </c>
      <c r="DF12" s="34">
        <f t="shared" ca="1" si="2"/>
        <v>46191</v>
      </c>
      <c r="DG12" s="34">
        <f t="shared" ca="1" si="2"/>
        <v>46192</v>
      </c>
      <c r="DH12" s="34">
        <f t="shared" ca="1" si="2"/>
        <v>46193</v>
      </c>
      <c r="DI12" s="34">
        <f t="shared" ca="1" si="2"/>
        <v>46194</v>
      </c>
      <c r="DJ12" s="34">
        <f t="shared" ca="1" si="2"/>
        <v>46195</v>
      </c>
      <c r="DK12" s="34">
        <f t="shared" ca="1" si="2"/>
        <v>46196</v>
      </c>
      <c r="DL12" s="34">
        <f t="shared" ca="1" si="2"/>
        <v>46197</v>
      </c>
      <c r="DM12" s="34">
        <f t="shared" ca="1" si="2"/>
        <v>46198</v>
      </c>
      <c r="DN12" s="34">
        <f t="shared" ca="1" si="2"/>
        <v>46199</v>
      </c>
      <c r="DO12" s="34">
        <f t="shared" ca="1" si="2"/>
        <v>46200</v>
      </c>
      <c r="DP12" s="34">
        <f t="shared" ca="1" si="2"/>
        <v>46201</v>
      </c>
      <c r="DQ12" s="34">
        <f t="shared" ca="1" si="2"/>
        <v>46202</v>
      </c>
      <c r="DR12" s="34">
        <f t="shared" ca="1" si="2"/>
        <v>46203</v>
      </c>
      <c r="DS12" s="34">
        <f t="shared" ca="1" si="2"/>
        <v>46204</v>
      </c>
      <c r="DT12" s="34">
        <f t="shared" ca="1" si="2"/>
        <v>46205</v>
      </c>
      <c r="DU12" s="34">
        <f t="shared" ca="1" si="2"/>
        <v>46206</v>
      </c>
      <c r="DV12" s="34">
        <f t="shared" ca="1" si="2"/>
        <v>46207</v>
      </c>
      <c r="DW12" s="34">
        <f t="shared" ca="1" si="2"/>
        <v>46208</v>
      </c>
      <c r="DX12" s="34">
        <f t="shared" ca="1" si="2"/>
        <v>46209</v>
      </c>
      <c r="DY12" s="34">
        <f t="shared" ca="1" si="2"/>
        <v>46210</v>
      </c>
      <c r="DZ12" s="34">
        <f t="shared" ca="1" si="2"/>
        <v>46211</v>
      </c>
      <c r="EA12" s="34">
        <f t="shared" ca="1" si="2"/>
        <v>46212</v>
      </c>
      <c r="EB12" s="34">
        <f t="shared" ca="1" si="2"/>
        <v>46213</v>
      </c>
      <c r="EC12" s="34">
        <f t="shared" ca="1" si="2"/>
        <v>46214</v>
      </c>
      <c r="ED12" s="34">
        <f t="shared" ca="1" si="2"/>
        <v>46215</v>
      </c>
      <c r="EE12" s="34">
        <f t="shared" ca="1" si="2"/>
        <v>46216</v>
      </c>
      <c r="EF12" s="34">
        <f t="shared" ca="1" si="2"/>
        <v>46217</v>
      </c>
      <c r="EG12" s="34">
        <f t="shared" ca="1" si="2"/>
        <v>46218</v>
      </c>
      <c r="EH12" s="34">
        <f t="shared" ca="1" si="2"/>
        <v>46219</v>
      </c>
      <c r="EI12" s="34">
        <f t="shared" ca="1" si="2"/>
        <v>46220</v>
      </c>
      <c r="EJ12" s="34">
        <f t="shared" ca="1" si="2"/>
        <v>46221</v>
      </c>
      <c r="EK12" s="34">
        <f t="shared" ca="1" si="2"/>
        <v>46222</v>
      </c>
      <c r="EL12" s="34">
        <f t="shared" ca="1" si="2"/>
        <v>46223</v>
      </c>
      <c r="EM12" s="34">
        <f t="shared" ca="1" si="2"/>
        <v>46224</v>
      </c>
      <c r="EN12" s="34">
        <f t="shared" ca="1" si="2"/>
        <v>46225</v>
      </c>
      <c r="EO12" s="34">
        <f t="shared" ca="1" si="2"/>
        <v>46226</v>
      </c>
      <c r="EP12" s="34">
        <f t="shared" ca="1" si="2"/>
        <v>46227</v>
      </c>
      <c r="EQ12" s="34">
        <f t="shared" ca="1" si="2"/>
        <v>46228</v>
      </c>
      <c r="ER12" s="34">
        <f t="shared" ca="1" si="2"/>
        <v>46229</v>
      </c>
      <c r="ES12" s="34">
        <f t="shared" ca="1" si="2"/>
        <v>46230</v>
      </c>
      <c r="ET12" s="34">
        <f t="shared" ca="1" si="2"/>
        <v>46231</v>
      </c>
      <c r="EU12" s="34">
        <f t="shared" ca="1" si="2"/>
        <v>46232</v>
      </c>
      <c r="EV12" s="34">
        <f t="shared" ca="1" si="2"/>
        <v>46233</v>
      </c>
      <c r="EW12" s="34">
        <f t="shared" ca="1" si="2"/>
        <v>46234</v>
      </c>
      <c r="EX12" s="34">
        <f t="shared" ca="1" si="2"/>
        <v>46235</v>
      </c>
      <c r="EY12" s="34">
        <f t="shared" ca="1" si="2"/>
        <v>46236</v>
      </c>
      <c r="EZ12" s="34">
        <f t="shared" ca="1" si="2"/>
        <v>46237</v>
      </c>
      <c r="FA12" s="34">
        <f t="shared" ca="1" si="2"/>
        <v>46238</v>
      </c>
      <c r="FB12" s="34">
        <f t="shared" ca="1" si="2"/>
        <v>46239</v>
      </c>
      <c r="FC12" s="34">
        <f t="shared" ca="1" si="2"/>
        <v>46240</v>
      </c>
      <c r="FD12" s="34">
        <f t="shared" ca="1" si="2"/>
        <v>46241</v>
      </c>
      <c r="FE12" s="34">
        <f t="shared" ca="1" si="2"/>
        <v>46242</v>
      </c>
      <c r="FF12" s="34">
        <f t="shared" ca="1" si="2"/>
        <v>46243</v>
      </c>
      <c r="FG12" s="34">
        <f t="shared" ca="1" si="2"/>
        <v>46244</v>
      </c>
      <c r="FH12" s="34">
        <f t="shared" ca="1" si="2"/>
        <v>46245</v>
      </c>
      <c r="FI12" s="34">
        <f t="shared" ca="1" si="2"/>
        <v>46246</v>
      </c>
      <c r="FJ12" s="34">
        <f t="shared" ca="1" si="2"/>
        <v>46247</v>
      </c>
      <c r="FK12" s="34">
        <f t="shared" ca="1" si="2"/>
        <v>46248</v>
      </c>
      <c r="FL12" s="34">
        <f t="shared" ca="1" si="2"/>
        <v>46249</v>
      </c>
      <c r="FM12" s="34">
        <f t="shared" ca="1" si="2"/>
        <v>46250</v>
      </c>
      <c r="FN12" s="34">
        <f t="shared" ca="1" si="2"/>
        <v>46251</v>
      </c>
      <c r="FO12" s="34">
        <f t="shared" ca="1" si="2"/>
        <v>46252</v>
      </c>
      <c r="FP12" s="34">
        <f t="shared" ca="1" si="2"/>
        <v>46253</v>
      </c>
      <c r="FQ12" s="34">
        <f t="shared" ca="1" si="2"/>
        <v>46254</v>
      </c>
      <c r="FR12" s="34">
        <f t="shared" ca="1" si="2"/>
        <v>46255</v>
      </c>
      <c r="FS12" s="34">
        <f t="shared" ca="1" si="2"/>
        <v>46256</v>
      </c>
      <c r="FT12" s="34">
        <f t="shared" ca="1" si="2"/>
        <v>46257</v>
      </c>
      <c r="FU12" s="34">
        <f t="shared" ca="1" si="2"/>
        <v>46258</v>
      </c>
      <c r="FV12" s="34">
        <f t="shared" ca="1" si="2"/>
        <v>46259</v>
      </c>
      <c r="FW12" s="34">
        <f t="shared" ca="1" si="2"/>
        <v>46260</v>
      </c>
      <c r="FX12" s="34">
        <f t="shared" ca="1" si="2"/>
        <v>46261</v>
      </c>
      <c r="FY12" s="34">
        <f t="shared" ca="1" si="2"/>
        <v>46262</v>
      </c>
      <c r="FZ12" s="34">
        <f t="shared" ca="1" si="2"/>
        <v>46263</v>
      </c>
      <c r="GA12" s="34">
        <f t="shared" ca="1" si="2"/>
        <v>46264</v>
      </c>
      <c r="GB12" s="34">
        <f t="shared" ca="1" si="2"/>
        <v>46265</v>
      </c>
      <c r="GC12" s="34">
        <f t="shared" ca="1" si="2"/>
        <v>46266</v>
      </c>
      <c r="GD12" s="34">
        <f t="shared" ca="1" si="2"/>
        <v>46267</v>
      </c>
      <c r="GE12" s="34">
        <f t="shared" ca="1" si="2"/>
        <v>46268</v>
      </c>
      <c r="GF12" s="34">
        <f t="shared" ca="1" si="2"/>
        <v>46269</v>
      </c>
      <c r="GG12" s="34">
        <f t="shared" ca="1" si="2"/>
        <v>46270</v>
      </c>
      <c r="GH12" s="34">
        <f t="shared" ca="1" si="2"/>
        <v>46271</v>
      </c>
      <c r="GI12" s="34">
        <f t="shared" ca="1" si="2"/>
        <v>46272</v>
      </c>
      <c r="GJ12" s="34">
        <f t="shared" ca="1" si="2"/>
        <v>46273</v>
      </c>
      <c r="GK12" s="34">
        <f t="shared" ca="1" si="2"/>
        <v>46274</v>
      </c>
      <c r="GL12" s="34">
        <f t="shared" ca="1" si="2"/>
        <v>46275</v>
      </c>
      <c r="GM12" s="34">
        <f t="shared" ca="1" si="2"/>
        <v>46276</v>
      </c>
      <c r="GN12" s="34">
        <f t="shared" ca="1" si="2"/>
        <v>46277</v>
      </c>
      <c r="GO12" s="34">
        <f t="shared" ca="1" si="2"/>
        <v>46278</v>
      </c>
      <c r="GP12" s="34">
        <f t="shared" ca="1" si="2"/>
        <v>46279</v>
      </c>
      <c r="GQ12" s="34">
        <f t="shared" ca="1" si="2"/>
        <v>46280</v>
      </c>
      <c r="GR12" s="34">
        <f t="shared" ca="1" si="2"/>
        <v>46281</v>
      </c>
      <c r="GS12" s="34">
        <f t="shared" ca="1" si="2"/>
        <v>46282</v>
      </c>
      <c r="GT12" s="34">
        <f t="shared" ca="1" si="2"/>
        <v>46283</v>
      </c>
      <c r="GU12" s="34">
        <f t="shared" ca="1" si="2"/>
        <v>46284</v>
      </c>
      <c r="GV12" s="34">
        <f t="shared" ca="1" si="2"/>
        <v>46285</v>
      </c>
      <c r="GW12" s="34">
        <f t="shared" ca="1" si="2"/>
        <v>46286</v>
      </c>
      <c r="GX12" s="34">
        <f t="shared" ca="1" si="2"/>
        <v>46287</v>
      </c>
      <c r="GY12" s="34">
        <f t="shared" ca="1" si="2"/>
        <v>46288</v>
      </c>
      <c r="GZ12" s="34">
        <f t="shared" ca="1" si="2"/>
        <v>46289</v>
      </c>
    </row>
    <row r="13" spans="1:208" ht="21.75" customHeight="1">
      <c r="A13" s="35" t="s">
        <v>83</v>
      </c>
      <c r="B13" s="36" t="s">
        <v>84</v>
      </c>
      <c r="C13" s="36" t="s">
        <v>85</v>
      </c>
      <c r="D13" s="37">
        <v>46080</v>
      </c>
      <c r="E13" s="38" t="s">
        <v>69</v>
      </c>
      <c r="F13" s="35"/>
      <c r="G13" s="35"/>
      <c r="H13" s="33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</row>
    <row r="14" spans="1:208" ht="21.75" customHeight="1">
      <c r="A14" s="40" t="s">
        <v>86</v>
      </c>
      <c r="B14" s="41" t="s">
        <v>87</v>
      </c>
      <c r="C14" s="42">
        <v>46090</v>
      </c>
      <c r="D14" s="43">
        <v>46108</v>
      </c>
      <c r="E14" s="44" t="s">
        <v>88</v>
      </c>
      <c r="F14" s="40"/>
      <c r="G14" s="40"/>
      <c r="H14" s="33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</row>
    <row r="15" spans="1:208" ht="21.75" customHeight="1">
      <c r="A15" s="35" t="s">
        <v>89</v>
      </c>
      <c r="B15" s="36" t="s">
        <v>84</v>
      </c>
      <c r="C15" s="45">
        <v>46090</v>
      </c>
      <c r="D15" s="37">
        <v>46093</v>
      </c>
      <c r="E15" s="38" t="s">
        <v>69</v>
      </c>
      <c r="F15" s="35"/>
      <c r="G15" s="35"/>
      <c r="H15" s="33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</row>
    <row r="16" spans="1:208" ht="21.75" customHeight="1">
      <c r="A16" s="40"/>
      <c r="B16" s="41"/>
      <c r="C16" s="42">
        <v>46090</v>
      </c>
      <c r="D16" s="43">
        <v>46108</v>
      </c>
      <c r="E16" s="46" t="s">
        <v>90</v>
      </c>
      <c r="F16" s="40"/>
      <c r="G16" s="40"/>
      <c r="H16" s="33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</row>
    <row r="17" spans="1:208" ht="21.75" customHeight="1">
      <c r="A17" s="35"/>
      <c r="B17" s="36"/>
      <c r="C17" s="45">
        <v>46090</v>
      </c>
      <c r="D17" s="37">
        <v>46108</v>
      </c>
      <c r="E17" s="38" t="s">
        <v>91</v>
      </c>
      <c r="F17" s="35"/>
      <c r="G17" s="35"/>
      <c r="H17" s="33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</row>
    <row r="18" spans="1:208" ht="21.75" customHeight="1">
      <c r="A18" s="40"/>
      <c r="B18" s="41"/>
      <c r="C18" s="42"/>
      <c r="D18" s="43"/>
      <c r="E18" s="46"/>
      <c r="F18" s="40"/>
      <c r="G18" s="40"/>
      <c r="H18" s="33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</row>
    <row r="19" spans="1:208" ht="21.75" customHeight="1">
      <c r="A19" s="35"/>
      <c r="B19" s="36"/>
      <c r="C19" s="45"/>
      <c r="D19" s="37"/>
      <c r="E19" s="38"/>
      <c r="F19" s="35"/>
      <c r="G19" s="35"/>
      <c r="H19" s="33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</row>
    <row r="20" spans="1:208" ht="21.75" customHeight="1">
      <c r="A20" s="40"/>
      <c r="B20" s="41"/>
      <c r="C20" s="42"/>
      <c r="D20" s="43"/>
      <c r="E20" s="46"/>
      <c r="F20" s="40"/>
      <c r="G20" s="40"/>
      <c r="H20" s="33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</row>
    <row r="21" spans="1:208" ht="21.75" customHeight="1">
      <c r="A21" s="35"/>
      <c r="B21" s="36"/>
      <c r="C21" s="45"/>
      <c r="D21" s="37"/>
      <c r="E21" s="38"/>
      <c r="F21" s="35"/>
      <c r="G21" s="35"/>
      <c r="H21" s="33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</row>
    <row r="22" spans="1:208" ht="21.75" customHeight="1">
      <c r="A22" s="40"/>
      <c r="B22" s="41"/>
      <c r="C22" s="42"/>
      <c r="D22" s="43"/>
      <c r="E22" s="46"/>
      <c r="F22" s="40"/>
      <c r="G22" s="40"/>
      <c r="H22" s="33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</row>
    <row r="23" spans="1:208" ht="21.75" customHeight="1">
      <c r="A23" s="35"/>
      <c r="B23" s="36"/>
      <c r="C23" s="45"/>
      <c r="D23" s="37"/>
      <c r="E23" s="38"/>
      <c r="F23" s="35"/>
      <c r="G23" s="35"/>
      <c r="H23" s="33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</row>
    <row r="24" spans="1:208" ht="21.75" customHeight="1">
      <c r="A24" s="40"/>
      <c r="B24" s="41"/>
      <c r="C24" s="42"/>
      <c r="D24" s="43"/>
      <c r="E24" s="46"/>
      <c r="F24" s="40"/>
      <c r="G24" s="40"/>
      <c r="H24" s="33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</row>
    <row r="25" spans="1:208" ht="21.75" customHeight="1">
      <c r="A25" s="35"/>
      <c r="B25" s="36"/>
      <c r="C25" s="45"/>
      <c r="D25" s="37"/>
      <c r="E25" s="38"/>
      <c r="F25" s="35"/>
      <c r="G25" s="35"/>
      <c r="H25" s="33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</row>
    <row r="26" spans="1:208" ht="21.75" customHeight="1">
      <c r="A26" s="40"/>
      <c r="B26" s="41"/>
      <c r="C26" s="42"/>
      <c r="D26" s="43"/>
      <c r="E26" s="46"/>
      <c r="F26" s="40"/>
      <c r="G26" s="40"/>
      <c r="H26" s="33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</row>
    <row r="27" spans="1:208" ht="21.75" customHeight="1">
      <c r="A27" s="35"/>
      <c r="B27" s="36"/>
      <c r="C27" s="45"/>
      <c r="D27" s="37"/>
      <c r="E27" s="38"/>
      <c r="F27" s="35"/>
      <c r="G27" s="35"/>
      <c r="H27" s="33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</row>
    <row r="28" spans="1:208" ht="21.75" customHeight="1">
      <c r="A28" s="40"/>
      <c r="B28" s="41"/>
      <c r="C28" s="42"/>
      <c r="D28" s="43"/>
      <c r="E28" s="46"/>
      <c r="F28" s="40"/>
      <c r="G28" s="40"/>
      <c r="H28" s="33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</row>
    <row r="29" spans="1:208" ht="21.75" customHeight="1">
      <c r="A29" s="35"/>
      <c r="B29" s="36"/>
      <c r="C29" s="45"/>
      <c r="D29" s="37"/>
      <c r="E29" s="38"/>
      <c r="F29" s="35"/>
      <c r="G29" s="35"/>
      <c r="H29" s="33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</row>
    <row r="30" spans="1:208" ht="21.75" customHeight="1">
      <c r="A30" s="40"/>
      <c r="B30" s="41"/>
      <c r="C30" s="42"/>
      <c r="D30" s="43"/>
      <c r="E30" s="46"/>
      <c r="F30" s="40"/>
      <c r="G30" s="40"/>
      <c r="H30" s="33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</row>
    <row r="31" spans="1:208" ht="21.75" customHeight="1">
      <c r="A31" s="35"/>
      <c r="B31" s="36"/>
      <c r="C31" s="45"/>
      <c r="D31" s="37"/>
      <c r="E31" s="38"/>
      <c r="F31" s="35"/>
      <c r="G31" s="35"/>
      <c r="H31" s="33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</row>
    <row r="32" spans="1:208" ht="21.75" customHeight="1">
      <c r="A32" s="40"/>
      <c r="B32" s="41"/>
      <c r="C32" s="42"/>
      <c r="D32" s="43"/>
      <c r="E32" s="46"/>
      <c r="F32" s="40"/>
      <c r="G32" s="40"/>
      <c r="H32" s="33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</row>
    <row r="33" spans="1:208" ht="21.75" customHeight="1">
      <c r="A33" s="35"/>
      <c r="B33" s="36"/>
      <c r="C33" s="45"/>
      <c r="D33" s="37"/>
      <c r="E33" s="38"/>
      <c r="F33" s="35"/>
      <c r="G33" s="35"/>
      <c r="H33" s="33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</row>
    <row r="34" spans="1:208" ht="21.75" customHeight="1">
      <c r="A34" s="40"/>
      <c r="B34" s="41"/>
      <c r="C34" s="42"/>
      <c r="D34" s="43"/>
      <c r="E34" s="46"/>
      <c r="F34" s="40"/>
      <c r="G34" s="40"/>
      <c r="H34" s="33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</row>
    <row r="35" spans="1:208" ht="21.75" customHeight="1">
      <c r="A35" s="35"/>
      <c r="B35" s="36"/>
      <c r="C35" s="45"/>
      <c r="D35" s="37"/>
      <c r="E35" s="38"/>
      <c r="F35" s="35"/>
      <c r="G35" s="35"/>
      <c r="H35" s="33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</row>
    <row r="36" spans="1:208" ht="21.75" customHeight="1">
      <c r="A36" s="40"/>
      <c r="B36" s="41"/>
      <c r="C36" s="42"/>
      <c r="D36" s="43"/>
      <c r="E36" s="46"/>
      <c r="F36" s="40"/>
      <c r="G36" s="40"/>
      <c r="H36" s="33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</row>
    <row r="37" spans="1:208" ht="21.75" customHeight="1">
      <c r="A37" s="35"/>
      <c r="B37" s="36"/>
      <c r="C37" s="45"/>
      <c r="D37" s="37"/>
      <c r="E37" s="38"/>
      <c r="F37" s="35"/>
      <c r="G37" s="35"/>
      <c r="H37" s="33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</row>
    <row r="38" spans="1:208" ht="21.75" customHeight="1">
      <c r="H38" s="33"/>
    </row>
    <row r="39" spans="1:208" ht="12.75"/>
    <row r="40" spans="1:208" ht="12.75"/>
    <row r="41" spans="1:208" ht="12.75"/>
    <row r="42" spans="1:208" ht="12.75"/>
    <row r="43" spans="1:208" ht="12.75"/>
    <row r="44" spans="1:208" ht="12.75"/>
    <row r="45" spans="1:208" ht="12.75"/>
    <row r="46" spans="1:208" ht="12.75"/>
    <row r="47" spans="1:208" ht="12.75"/>
    <row r="48" spans="1:20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</sheetData>
  <mergeCells count="14">
    <mergeCell ref="I4:J5"/>
    <mergeCell ref="F7:G10"/>
    <mergeCell ref="A1:J1"/>
    <mergeCell ref="A2:J2"/>
    <mergeCell ref="M2:S2"/>
    <mergeCell ref="C3:D3"/>
    <mergeCell ref="E3:F3"/>
    <mergeCell ref="G3:H3"/>
    <mergeCell ref="I3:J3"/>
    <mergeCell ref="A3:B3"/>
    <mergeCell ref="A4:B5"/>
    <mergeCell ref="C4:D5"/>
    <mergeCell ref="E4:F5"/>
    <mergeCell ref="G4:H5"/>
  </mergeCells>
  <phoneticPr fontId="43" type="noConversion"/>
  <conditionalFormatting sqref="A13:G37">
    <cfRule type="expression" dxfId="11" priority="1">
      <formula>AND($D13&lt;TODAY(),$E13&lt;&gt;"완료",$D13&lt;&gt;"")</formula>
    </cfRule>
  </conditionalFormatting>
  <conditionalFormatting sqref="I11:L37 N11:Z37 AB11:GZ37 M12:M37 AA12:AA37">
    <cfRule type="expression" dxfId="10" priority="7">
      <formula>I$12=TODAY()</formula>
    </cfRule>
  </conditionalFormatting>
  <conditionalFormatting sqref="I13:GZ37">
    <cfRule type="expression" dxfId="9" priority="2">
      <formula>WEEKDAY(I$12,2)&gt;=6</formula>
    </cfRule>
    <cfRule type="expression" dxfId="8" priority="3">
      <formula>AND(I$12&gt;=$C13,I$12&lt;=$D13,$C13&lt;&gt;"",$D13&lt;&gt;"",$E13="완료")</formula>
    </cfRule>
    <cfRule type="expression" dxfId="7" priority="4">
      <formula>AND(I$12&gt;=$C13,I$12&lt;=$D13,$C13&lt;&gt;"",$D13&lt;&gt;"",$E13="진행 중")</formula>
    </cfRule>
    <cfRule type="expression" dxfId="6" priority="5">
      <formula>AND(I$12&gt;=$C13,I$12&lt;=$D13,$C13&lt;&gt;"",$D13&lt;&gt;"",$E13="지연")</formula>
    </cfRule>
    <cfRule type="expression" dxfId="5" priority="6">
      <formula>AND(I$12&gt;=$C13,I$12&lt;=$D13,$C13&lt;&gt;"",$D13&lt;&gt;"",OR($E13="시작 전",$E13="보류"))</formula>
    </cfRule>
  </conditionalFormatting>
  <dataValidations count="2">
    <dataValidation type="list" allowBlank="1" sqref="E13:E37" xr:uid="{00000000-0002-0000-0100-000000000000}">
      <formula1>"완료,진행 중,지연,보류,시작 전"</formula1>
    </dataValidation>
    <dataValidation type="custom" allowBlank="1" showDropDown="1" sqref="D13:D37" xr:uid="{00000000-0002-0000-0100-000001000000}">
      <formula1>OR(NOT(ISERROR(DATEVALUE(D13))), AND(ISNUMBER(D13), LEFT(CELL("format", D13))="D"))</formula1>
    </dataValidation>
  </dataValidations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11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9" sqref="T9"/>
    </sheetView>
  </sheetViews>
  <sheetFormatPr defaultColWidth="11.25" defaultRowHeight="15.75" customHeight="1" outlineLevelCol="1"/>
  <cols>
    <col min="1" max="1" width="12.625" customWidth="1"/>
    <col min="2" max="2" width="15" customWidth="1"/>
    <col min="3" max="14" width="9" customWidth="1"/>
    <col min="15" max="15" width="11" customWidth="1"/>
    <col min="16" max="16" width="9.875" customWidth="1" outlineLevel="1"/>
    <col min="17" max="19" width="9.625" customWidth="1" outlineLevel="1"/>
    <col min="20" max="20" width="9.75" customWidth="1" outlineLevel="1"/>
    <col min="21" max="21" width="8.125" customWidth="1" outlineLevel="1"/>
    <col min="22" max="24" width="10.375" customWidth="1" outlineLevel="1"/>
    <col min="25" max="25" width="11.125" customWidth="1" outlineLevel="1"/>
    <col min="26" max="26" width="10.375" customWidth="1" outlineLevel="1"/>
    <col min="27" max="27" width="9.875" customWidth="1" outlineLevel="1"/>
    <col min="28" max="28" width="12.125" customWidth="1" outlineLevel="1"/>
    <col min="29" max="29" width="13.5" customWidth="1" outlineLevel="1"/>
    <col min="30" max="30" width="11" customWidth="1" outlineLevel="1"/>
    <col min="31" max="31" width="15.5" customWidth="1" outlineLevel="1"/>
    <col min="32" max="32" width="11" customWidth="1" outlineLevel="1"/>
    <col min="33" max="33" width="11" customWidth="1"/>
    <col min="34" max="34" width="9.125" customWidth="1"/>
    <col min="35" max="35" width="40.25" customWidth="1"/>
  </cols>
  <sheetData>
    <row r="1" spans="1:35" ht="13.5" customHeight="1">
      <c r="A1" s="47"/>
      <c r="B1" s="48"/>
      <c r="C1" s="48"/>
      <c r="D1" s="48"/>
      <c r="E1" s="48"/>
      <c r="F1" s="48"/>
      <c r="G1" s="49"/>
      <c r="H1" s="49"/>
      <c r="I1" s="49"/>
      <c r="J1" s="48"/>
      <c r="K1" s="48"/>
      <c r="L1" s="48"/>
      <c r="M1" s="49"/>
      <c r="N1" s="49"/>
      <c r="O1" s="48"/>
      <c r="P1" s="127" t="s">
        <v>92</v>
      </c>
      <c r="Q1" s="124"/>
      <c r="R1" s="124"/>
      <c r="S1" s="124"/>
      <c r="T1" s="124"/>
      <c r="U1" s="124"/>
      <c r="V1" s="124"/>
      <c r="W1" s="124"/>
      <c r="X1" s="124"/>
      <c r="Y1" s="124"/>
      <c r="Z1" s="128" t="s">
        <v>93</v>
      </c>
      <c r="AA1" s="124"/>
      <c r="AB1" s="124"/>
      <c r="AC1" s="124"/>
      <c r="AD1" s="129" t="s">
        <v>94</v>
      </c>
      <c r="AE1" s="130"/>
      <c r="AF1" s="131"/>
      <c r="AG1" s="49"/>
      <c r="AH1" s="49"/>
      <c r="AI1" s="49"/>
    </row>
    <row r="2" spans="1:35" ht="22.5" customHeight="1">
      <c r="A2" s="50" t="s">
        <v>95</v>
      </c>
      <c r="B2" s="50" t="s">
        <v>96</v>
      </c>
      <c r="C2" s="50" t="s">
        <v>97</v>
      </c>
      <c r="D2" s="50" t="s">
        <v>98</v>
      </c>
      <c r="E2" s="50" t="s">
        <v>99</v>
      </c>
      <c r="F2" s="50" t="s">
        <v>100</v>
      </c>
      <c r="G2" s="51" t="s">
        <v>101</v>
      </c>
      <c r="H2" s="143" t="s">
        <v>345</v>
      </c>
      <c r="I2" s="144" t="s">
        <v>346</v>
      </c>
      <c r="J2" s="145" t="s">
        <v>347</v>
      </c>
      <c r="K2" s="50" t="s">
        <v>103</v>
      </c>
      <c r="L2" s="50" t="s">
        <v>104</v>
      </c>
      <c r="M2" s="51" t="s">
        <v>105</v>
      </c>
      <c r="N2" s="51" t="s">
        <v>106</v>
      </c>
      <c r="O2" s="50" t="s">
        <v>107</v>
      </c>
      <c r="P2" s="51" t="s">
        <v>108</v>
      </c>
      <c r="Q2" s="51" t="s">
        <v>109</v>
      </c>
      <c r="R2" s="51" t="s">
        <v>110</v>
      </c>
      <c r="S2" s="51" t="s">
        <v>111</v>
      </c>
      <c r="T2" s="51" t="s">
        <v>112</v>
      </c>
      <c r="U2" s="51" t="s">
        <v>113</v>
      </c>
      <c r="V2" s="51" t="s">
        <v>114</v>
      </c>
      <c r="W2" s="51" t="s">
        <v>115</v>
      </c>
      <c r="X2" s="51" t="s">
        <v>116</v>
      </c>
      <c r="Y2" s="51" t="s">
        <v>117</v>
      </c>
      <c r="Z2" s="50" t="s">
        <v>118</v>
      </c>
      <c r="AA2" s="51" t="s">
        <v>119</v>
      </c>
      <c r="AB2" s="51" t="s">
        <v>120</v>
      </c>
      <c r="AC2" s="51" t="s">
        <v>121</v>
      </c>
      <c r="AD2" s="51" t="s">
        <v>122</v>
      </c>
      <c r="AE2" s="51" t="s">
        <v>123</v>
      </c>
      <c r="AF2" s="51" t="s">
        <v>124</v>
      </c>
      <c r="AG2" s="51" t="s">
        <v>125</v>
      </c>
      <c r="AH2" s="51" t="s">
        <v>126</v>
      </c>
      <c r="AI2" s="51" t="s">
        <v>127</v>
      </c>
    </row>
    <row r="3" spans="1:35" ht="22.5" customHeight="1">
      <c r="A3" s="52" t="s">
        <v>128</v>
      </c>
      <c r="B3" s="52" t="s">
        <v>129</v>
      </c>
      <c r="C3" s="52"/>
      <c r="D3" s="52"/>
      <c r="E3" s="52"/>
      <c r="F3" s="52"/>
      <c r="G3" s="1" t="s">
        <v>130</v>
      </c>
      <c r="H3" s="1"/>
      <c r="I3" s="1"/>
      <c r="J3" s="52"/>
      <c r="K3" s="52">
        <v>55</v>
      </c>
      <c r="L3" s="52">
        <v>2</v>
      </c>
      <c r="M3" s="53">
        <v>53</v>
      </c>
      <c r="N3" s="1">
        <f t="shared" ref="N3:N112" si="0">IF((M3-L3)&gt;0, M3-L3+1, 0)</f>
        <v>52</v>
      </c>
      <c r="O3" s="52" t="s">
        <v>131</v>
      </c>
      <c r="P3" s="54">
        <v>288</v>
      </c>
      <c r="Q3" s="55"/>
      <c r="R3" s="55"/>
      <c r="S3" s="55"/>
      <c r="T3" s="55"/>
      <c r="U3" s="55"/>
      <c r="V3" s="55"/>
      <c r="W3" s="55"/>
      <c r="X3" s="55"/>
      <c r="Y3" s="1"/>
      <c r="Z3" s="52"/>
      <c r="AA3" s="55"/>
      <c r="AB3" s="55"/>
      <c r="AC3" s="55"/>
      <c r="AD3" s="1"/>
      <c r="AE3" s="54"/>
      <c r="AF3" s="55"/>
      <c r="AG3" s="1" t="s">
        <v>132</v>
      </c>
      <c r="AH3" s="1" t="s">
        <v>133</v>
      </c>
      <c r="AI3" s="1"/>
    </row>
    <row r="4" spans="1:35" ht="22.5" customHeight="1">
      <c r="A4" s="52" t="s">
        <v>134</v>
      </c>
      <c r="B4" s="52" t="s">
        <v>135</v>
      </c>
      <c r="C4" s="52"/>
      <c r="D4" s="52"/>
      <c r="E4" s="52"/>
      <c r="F4" s="52"/>
      <c r="G4" s="1" t="s">
        <v>136</v>
      </c>
      <c r="H4" s="1"/>
      <c r="I4" s="1"/>
      <c r="J4" s="52"/>
      <c r="K4" s="52">
        <v>44</v>
      </c>
      <c r="L4" s="52">
        <v>5</v>
      </c>
      <c r="M4" s="56">
        <v>40</v>
      </c>
      <c r="N4" s="1">
        <f t="shared" si="0"/>
        <v>36</v>
      </c>
      <c r="O4" s="52" t="s">
        <v>137</v>
      </c>
      <c r="P4" s="54">
        <v>323</v>
      </c>
      <c r="Q4" s="55"/>
      <c r="R4" s="55"/>
      <c r="S4" s="55"/>
      <c r="T4" s="55"/>
      <c r="U4" s="55"/>
      <c r="V4" s="55"/>
      <c r="W4" s="55"/>
      <c r="X4" s="55"/>
      <c r="Y4" s="1"/>
      <c r="Z4" s="52"/>
      <c r="AA4" s="55"/>
      <c r="AB4" s="55"/>
      <c r="AC4" s="55"/>
      <c r="AD4" s="1"/>
      <c r="AE4" s="54"/>
      <c r="AF4" s="55"/>
      <c r="AG4" s="1" t="s">
        <v>138</v>
      </c>
      <c r="AH4" s="1" t="s">
        <v>139</v>
      </c>
      <c r="AI4" s="1"/>
    </row>
    <row r="5" spans="1:35" ht="22.5" customHeight="1">
      <c r="A5" s="52" t="s">
        <v>140</v>
      </c>
      <c r="B5" s="52" t="s">
        <v>141</v>
      </c>
      <c r="C5" s="52"/>
      <c r="D5" s="52"/>
      <c r="E5" s="52"/>
      <c r="F5" s="52"/>
      <c r="G5" s="1"/>
      <c r="H5" s="1"/>
      <c r="I5" s="1"/>
      <c r="J5" s="52"/>
      <c r="K5" s="52">
        <v>100</v>
      </c>
      <c r="L5" s="52">
        <v>8</v>
      </c>
      <c r="M5" s="56">
        <v>91</v>
      </c>
      <c r="N5" s="1">
        <f t="shared" si="0"/>
        <v>84</v>
      </c>
      <c r="O5" s="52" t="s">
        <v>142</v>
      </c>
      <c r="P5" s="1"/>
      <c r="Q5" s="55"/>
      <c r="R5" s="55"/>
      <c r="S5" s="55"/>
      <c r="T5" s="55"/>
      <c r="U5" s="55"/>
      <c r="V5" s="55"/>
      <c r="W5" s="55"/>
      <c r="X5" s="55"/>
      <c r="Y5" s="1"/>
      <c r="Z5" s="52"/>
      <c r="AA5" s="55"/>
      <c r="AB5" s="55"/>
      <c r="AC5" s="55"/>
      <c r="AD5" s="1"/>
      <c r="AE5" s="1"/>
      <c r="AF5" s="55"/>
      <c r="AG5" s="1"/>
      <c r="AH5" s="1"/>
      <c r="AI5" s="1"/>
    </row>
    <row r="6" spans="1:35" ht="22.5" customHeight="1">
      <c r="A6" s="52" t="s">
        <v>143</v>
      </c>
      <c r="B6" s="52" t="s">
        <v>144</v>
      </c>
      <c r="C6" s="52"/>
      <c r="D6" s="52"/>
      <c r="E6" s="52"/>
      <c r="F6" s="52"/>
      <c r="G6" s="1"/>
      <c r="H6" s="1"/>
      <c r="I6" s="1"/>
      <c r="J6" s="52"/>
      <c r="K6" s="52">
        <v>2000</v>
      </c>
      <c r="L6" s="52">
        <v>3</v>
      </c>
      <c r="M6" s="56">
        <v>1987</v>
      </c>
      <c r="N6" s="1">
        <f t="shared" si="0"/>
        <v>1985</v>
      </c>
      <c r="O6" s="52" t="s">
        <v>145</v>
      </c>
      <c r="P6" s="1"/>
      <c r="Q6" s="55"/>
      <c r="R6" s="55"/>
      <c r="S6" s="55"/>
      <c r="T6" s="55"/>
      <c r="U6" s="55"/>
      <c r="V6" s="55"/>
      <c r="W6" s="55"/>
      <c r="X6" s="55"/>
      <c r="Y6" s="1"/>
      <c r="Z6" s="52"/>
      <c r="AA6" s="55"/>
      <c r="AB6" s="55"/>
      <c r="AC6" s="55"/>
      <c r="AD6" s="1"/>
      <c r="AE6" s="1"/>
      <c r="AF6" s="55"/>
      <c r="AG6" s="1"/>
      <c r="AH6" s="1"/>
      <c r="AI6" s="1"/>
    </row>
    <row r="7" spans="1:35" ht="22.5" customHeight="1">
      <c r="A7" s="52" t="s">
        <v>146</v>
      </c>
      <c r="B7" s="52"/>
      <c r="C7" s="52"/>
      <c r="D7" s="52"/>
      <c r="E7" s="52"/>
      <c r="F7" s="52"/>
      <c r="G7" s="1"/>
      <c r="H7" s="1"/>
      <c r="I7" s="1"/>
      <c r="J7" s="52"/>
      <c r="K7" s="52">
        <v>10</v>
      </c>
      <c r="L7" s="52">
        <v>1</v>
      </c>
      <c r="M7" s="56">
        <v>10</v>
      </c>
      <c r="N7" s="1">
        <f t="shared" si="0"/>
        <v>10</v>
      </c>
      <c r="O7" s="52"/>
      <c r="P7" s="1"/>
      <c r="Q7" s="55"/>
      <c r="R7" s="55"/>
      <c r="S7" s="55"/>
      <c r="T7" s="55"/>
      <c r="U7" s="55"/>
      <c r="V7" s="55"/>
      <c r="W7" s="55"/>
      <c r="X7" s="55"/>
      <c r="Y7" s="1"/>
      <c r="Z7" s="52"/>
      <c r="AA7" s="55"/>
      <c r="AB7" s="55"/>
      <c r="AC7" s="55"/>
      <c r="AD7" s="1"/>
      <c r="AE7" s="1"/>
      <c r="AF7" s="55"/>
      <c r="AG7" s="1"/>
      <c r="AH7" s="1"/>
      <c r="AI7" s="1"/>
    </row>
    <row r="8" spans="1:35" ht="22.5" customHeight="1">
      <c r="A8" s="52" t="s">
        <v>147</v>
      </c>
      <c r="B8" s="52"/>
      <c r="C8" s="52"/>
      <c r="D8" s="52"/>
      <c r="E8" s="52"/>
      <c r="F8" s="52"/>
      <c r="G8" s="1"/>
      <c r="H8" s="1"/>
      <c r="I8" s="1"/>
      <c r="J8" s="52"/>
      <c r="K8" s="52">
        <v>10</v>
      </c>
      <c r="L8" s="52">
        <v>1</v>
      </c>
      <c r="M8" s="57">
        <v>10</v>
      </c>
      <c r="N8" s="1">
        <f t="shared" si="0"/>
        <v>10</v>
      </c>
      <c r="O8" s="52"/>
      <c r="P8" s="1">
        <v>320</v>
      </c>
      <c r="Q8" s="55"/>
      <c r="R8" s="55"/>
      <c r="S8" s="55"/>
      <c r="T8" s="55"/>
      <c r="U8" s="55"/>
      <c r="V8" s="55"/>
      <c r="W8" s="55"/>
      <c r="X8" s="55"/>
      <c r="Y8" s="1"/>
      <c r="Z8" s="52"/>
      <c r="AA8" s="55"/>
      <c r="AB8" s="55"/>
      <c r="AC8" s="55"/>
      <c r="AD8" s="1"/>
      <c r="AE8" s="1"/>
      <c r="AF8" s="55"/>
      <c r="AG8" s="1"/>
      <c r="AH8" s="1"/>
      <c r="AI8" s="1"/>
    </row>
    <row r="9" spans="1:35" ht="22.5" customHeight="1">
      <c r="A9" s="52" t="s">
        <v>148</v>
      </c>
      <c r="B9" s="52"/>
      <c r="C9" s="52"/>
      <c r="D9" s="52"/>
      <c r="E9" s="52"/>
      <c r="F9" s="52"/>
      <c r="G9" s="1"/>
      <c r="H9" s="1"/>
      <c r="I9" s="1"/>
      <c r="J9" s="52"/>
      <c r="K9" s="52">
        <v>15</v>
      </c>
      <c r="L9" s="52">
        <v>3</v>
      </c>
      <c r="M9" s="58">
        <v>15</v>
      </c>
      <c r="N9" s="1">
        <f t="shared" si="0"/>
        <v>13</v>
      </c>
      <c r="O9" s="52"/>
      <c r="P9" s="1">
        <v>476</v>
      </c>
      <c r="Q9" s="55"/>
      <c r="R9" s="55"/>
      <c r="S9" s="55"/>
      <c r="T9" s="55"/>
      <c r="U9" s="55"/>
      <c r="V9" s="55"/>
      <c r="W9" s="55"/>
      <c r="X9" s="55"/>
      <c r="Y9" s="1"/>
      <c r="Z9" s="52"/>
      <c r="AA9" s="55"/>
      <c r="AB9" s="55"/>
      <c r="AC9" s="55"/>
      <c r="AD9" s="1"/>
      <c r="AE9" s="1"/>
      <c r="AF9" s="55"/>
      <c r="AG9" s="1"/>
      <c r="AH9" s="1"/>
      <c r="AI9" s="1"/>
    </row>
    <row r="10" spans="1:35" ht="22.5" customHeight="1">
      <c r="A10" s="52" t="s">
        <v>149</v>
      </c>
      <c r="B10" s="52"/>
      <c r="C10" s="52"/>
      <c r="D10" s="52"/>
      <c r="E10" s="52"/>
      <c r="F10" s="52"/>
      <c r="G10" s="1"/>
      <c r="H10" s="1"/>
      <c r="I10" s="1"/>
      <c r="J10" s="52"/>
      <c r="K10" s="52"/>
      <c r="L10" s="52"/>
      <c r="M10" s="59"/>
      <c r="N10" s="1">
        <f t="shared" si="0"/>
        <v>0</v>
      </c>
      <c r="O10" s="52"/>
      <c r="P10" s="1">
        <v>354</v>
      </c>
      <c r="Q10" s="55"/>
      <c r="R10" s="55"/>
      <c r="S10" s="55"/>
      <c r="T10" s="55"/>
      <c r="U10" s="55"/>
      <c r="V10" s="55"/>
      <c r="W10" s="55"/>
      <c r="X10" s="55"/>
      <c r="Y10" s="1"/>
      <c r="Z10" s="52"/>
      <c r="AA10" s="55"/>
      <c r="AB10" s="55"/>
      <c r="AC10" s="55"/>
      <c r="AD10" s="1"/>
      <c r="AE10" s="1"/>
      <c r="AF10" s="55"/>
      <c r="AG10" s="1"/>
      <c r="AH10" s="1"/>
      <c r="AI10" s="1"/>
    </row>
    <row r="11" spans="1:35" ht="22.5" customHeight="1">
      <c r="A11" s="52" t="s">
        <v>150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53"/>
      <c r="N11" s="1">
        <f t="shared" si="0"/>
        <v>0</v>
      </c>
      <c r="O11" s="1"/>
      <c r="P11" s="1">
        <v>248</v>
      </c>
      <c r="Q11" s="55"/>
      <c r="R11" s="55"/>
      <c r="S11" s="55"/>
      <c r="T11" s="55"/>
      <c r="U11" s="55"/>
      <c r="V11" s="55"/>
      <c r="W11" s="55"/>
      <c r="X11" s="55"/>
      <c r="Y11" s="1"/>
      <c r="Z11" s="1"/>
      <c r="AA11" s="55"/>
      <c r="AB11" s="55"/>
      <c r="AC11" s="55"/>
      <c r="AD11" s="1"/>
      <c r="AE11" s="1"/>
      <c r="AF11" s="55"/>
      <c r="AG11" s="1"/>
      <c r="AH11" s="1"/>
      <c r="AI11" s="1"/>
    </row>
    <row r="12" spans="1:35" ht="22.5" customHeight="1">
      <c r="A12" s="52" t="s">
        <v>151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60"/>
      <c r="N12" s="1">
        <f t="shared" si="0"/>
        <v>0</v>
      </c>
      <c r="O12" s="1"/>
      <c r="P12" s="1">
        <v>640</v>
      </c>
      <c r="Q12" s="55"/>
      <c r="R12" s="55"/>
      <c r="S12" s="55"/>
      <c r="T12" s="55"/>
      <c r="U12" s="55"/>
      <c r="V12" s="55"/>
      <c r="W12" s="55"/>
      <c r="X12" s="55"/>
      <c r="Y12" s="1"/>
      <c r="Z12" s="1"/>
      <c r="AA12" s="55"/>
      <c r="AB12" s="55"/>
      <c r="AC12" s="55"/>
      <c r="AD12" s="1"/>
      <c r="AE12" s="1"/>
      <c r="AF12" s="55"/>
      <c r="AG12" s="1"/>
      <c r="AH12" s="1"/>
      <c r="AI12" s="1"/>
    </row>
    <row r="13" spans="1:35" ht="22.5" customHeight="1">
      <c r="A13" s="52" t="s">
        <v>152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61"/>
      <c r="N13" s="1">
        <f t="shared" si="0"/>
        <v>0</v>
      </c>
      <c r="O13" s="1"/>
      <c r="P13" s="1">
        <v>248</v>
      </c>
      <c r="Q13" s="55"/>
      <c r="R13" s="55"/>
      <c r="S13" s="55"/>
      <c r="T13" s="55"/>
      <c r="U13" s="55"/>
      <c r="V13" s="55"/>
      <c r="W13" s="55"/>
      <c r="X13" s="55"/>
      <c r="Y13" s="1"/>
      <c r="Z13" s="1"/>
      <c r="AA13" s="55"/>
      <c r="AB13" s="55"/>
      <c r="AC13" s="55"/>
      <c r="AD13" s="1"/>
      <c r="AE13" s="1"/>
      <c r="AF13" s="55"/>
      <c r="AG13" s="1"/>
      <c r="AH13" s="1"/>
      <c r="AI13" s="1"/>
    </row>
    <row r="14" spans="1:35" ht="22.5" customHeight="1">
      <c r="A14" s="52" t="s">
        <v>153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61"/>
      <c r="N14" s="1">
        <f t="shared" si="0"/>
        <v>0</v>
      </c>
      <c r="O14" s="1"/>
      <c r="P14" s="1">
        <v>212</v>
      </c>
      <c r="Q14" s="55"/>
      <c r="R14" s="55"/>
      <c r="S14" s="55"/>
      <c r="T14" s="55"/>
      <c r="U14" s="55"/>
      <c r="V14" s="55"/>
      <c r="W14" s="55"/>
      <c r="X14" s="55"/>
      <c r="Y14" s="1"/>
      <c r="Z14" s="1"/>
      <c r="AA14" s="55"/>
      <c r="AB14" s="55"/>
      <c r="AC14" s="55"/>
      <c r="AD14" s="1"/>
      <c r="AE14" s="1"/>
      <c r="AF14" s="55"/>
      <c r="AG14" s="1"/>
      <c r="AH14" s="1"/>
      <c r="AI14" s="1"/>
    </row>
    <row r="15" spans="1:35" ht="22.5" customHeight="1">
      <c r="A15" s="52" t="s">
        <v>154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61"/>
      <c r="N15" s="1">
        <f t="shared" si="0"/>
        <v>0</v>
      </c>
      <c r="O15" s="1"/>
      <c r="P15" s="1">
        <v>360</v>
      </c>
      <c r="Q15" s="55"/>
      <c r="R15" s="55"/>
      <c r="S15" s="55"/>
      <c r="T15" s="55"/>
      <c r="U15" s="55"/>
      <c r="V15" s="55"/>
      <c r="W15" s="55"/>
      <c r="X15" s="55"/>
      <c r="Y15" s="1"/>
      <c r="Z15" s="1"/>
      <c r="AA15" s="55"/>
      <c r="AB15" s="55"/>
      <c r="AC15" s="55"/>
      <c r="AD15" s="1"/>
      <c r="AE15" s="1"/>
      <c r="AF15" s="55"/>
      <c r="AG15" s="1"/>
      <c r="AH15" s="1"/>
      <c r="AI15" s="1"/>
    </row>
    <row r="16" spans="1:35" ht="22.5" customHeight="1">
      <c r="A16" s="52" t="s">
        <v>155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61"/>
      <c r="N16" s="1">
        <f t="shared" si="0"/>
        <v>0</v>
      </c>
      <c r="O16" s="1"/>
      <c r="P16" s="1">
        <v>299</v>
      </c>
      <c r="Q16" s="55"/>
      <c r="R16" s="55"/>
      <c r="S16" s="55"/>
      <c r="T16" s="55"/>
      <c r="U16" s="55"/>
      <c r="V16" s="55"/>
      <c r="W16" s="55"/>
      <c r="X16" s="55"/>
      <c r="Y16" s="1"/>
      <c r="Z16" s="1"/>
      <c r="AA16" s="55"/>
      <c r="AB16" s="55"/>
      <c r="AC16" s="55"/>
      <c r="AD16" s="1"/>
      <c r="AE16" s="1"/>
      <c r="AF16" s="55"/>
      <c r="AG16" s="1"/>
      <c r="AH16" s="1"/>
      <c r="AI16" s="1"/>
    </row>
    <row r="17" spans="1:35" ht="22.5" customHeight="1">
      <c r="A17" s="52" t="s">
        <v>156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61"/>
      <c r="N17" s="1">
        <f t="shared" si="0"/>
        <v>0</v>
      </c>
      <c r="O17" s="1"/>
      <c r="P17" s="1">
        <v>288</v>
      </c>
      <c r="Q17" s="55"/>
      <c r="R17" s="55"/>
      <c r="S17" s="55"/>
      <c r="T17" s="55"/>
      <c r="U17" s="55"/>
      <c r="V17" s="55"/>
      <c r="W17" s="55"/>
      <c r="X17" s="55"/>
      <c r="Y17" s="1"/>
      <c r="Z17" s="1"/>
      <c r="AA17" s="55"/>
      <c r="AB17" s="55"/>
      <c r="AC17" s="55"/>
      <c r="AD17" s="1"/>
      <c r="AE17" s="1"/>
      <c r="AF17" s="55"/>
      <c r="AG17" s="1"/>
      <c r="AH17" s="1"/>
      <c r="AI17" s="1"/>
    </row>
    <row r="18" spans="1:35" ht="22.5" customHeight="1">
      <c r="A18" s="52" t="s">
        <v>157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62"/>
      <c r="N18" s="1">
        <f t="shared" si="0"/>
        <v>0</v>
      </c>
      <c r="O18" s="1"/>
      <c r="P18" s="1">
        <v>532</v>
      </c>
      <c r="Q18" s="55"/>
      <c r="R18" s="55"/>
      <c r="S18" s="55"/>
      <c r="T18" s="55"/>
      <c r="U18" s="55"/>
      <c r="V18" s="55"/>
      <c r="W18" s="55"/>
      <c r="X18" s="55"/>
      <c r="Y18" s="1"/>
      <c r="Z18" s="1"/>
      <c r="AA18" s="55"/>
      <c r="AB18" s="55"/>
      <c r="AC18" s="55"/>
      <c r="AD18" s="1"/>
      <c r="AE18" s="1"/>
      <c r="AF18" s="55"/>
      <c r="AG18" s="1"/>
      <c r="AH18" s="1"/>
      <c r="AI18" s="1"/>
    </row>
    <row r="19" spans="1:35" ht="22.5" customHeight="1">
      <c r="A19" s="52" t="s">
        <v>158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63"/>
      <c r="N19" s="1">
        <f t="shared" si="0"/>
        <v>0</v>
      </c>
      <c r="O19" s="1"/>
      <c r="P19" s="1">
        <v>328</v>
      </c>
      <c r="Q19" s="55"/>
      <c r="R19" s="55"/>
      <c r="S19" s="55"/>
      <c r="T19" s="55"/>
      <c r="U19" s="55"/>
      <c r="V19" s="55"/>
      <c r="W19" s="55"/>
      <c r="X19" s="55"/>
      <c r="Y19" s="1"/>
      <c r="Z19" s="1"/>
      <c r="AA19" s="55"/>
      <c r="AB19" s="55"/>
      <c r="AC19" s="55"/>
      <c r="AD19" s="1"/>
      <c r="AE19" s="1"/>
      <c r="AF19" s="55"/>
      <c r="AG19" s="1"/>
      <c r="AH19" s="1"/>
      <c r="AI19" s="1"/>
    </row>
    <row r="20" spans="1:35" ht="22.5" customHeight="1">
      <c r="A20" s="52" t="s">
        <v>159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63"/>
      <c r="N20" s="1">
        <f t="shared" si="0"/>
        <v>0</v>
      </c>
      <c r="O20" s="1"/>
      <c r="P20" s="1">
        <v>391</v>
      </c>
      <c r="Q20" s="55"/>
      <c r="R20" s="55"/>
      <c r="S20" s="55"/>
      <c r="T20" s="55"/>
      <c r="U20" s="55"/>
      <c r="V20" s="55"/>
      <c r="W20" s="55"/>
      <c r="X20" s="55"/>
      <c r="Y20" s="1"/>
      <c r="Z20" s="1"/>
      <c r="AA20" s="55"/>
      <c r="AB20" s="55"/>
      <c r="AC20" s="55"/>
      <c r="AD20" s="1"/>
      <c r="AE20" s="1"/>
      <c r="AF20" s="55"/>
      <c r="AG20" s="1"/>
      <c r="AH20" s="1"/>
      <c r="AI20" s="1"/>
    </row>
    <row r="21" spans="1:35" ht="22.5" customHeight="1">
      <c r="A21" s="52" t="s">
        <v>160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63"/>
      <c r="N21" s="1">
        <f t="shared" si="0"/>
        <v>0</v>
      </c>
      <c r="O21" s="1"/>
      <c r="P21" s="1">
        <v>288</v>
      </c>
      <c r="Q21" s="55"/>
      <c r="R21" s="55"/>
      <c r="S21" s="55"/>
      <c r="T21" s="55"/>
      <c r="U21" s="55"/>
      <c r="V21" s="55"/>
      <c r="W21" s="55"/>
      <c r="X21" s="55"/>
      <c r="Y21" s="1"/>
      <c r="Z21" s="1"/>
      <c r="AA21" s="55"/>
      <c r="AB21" s="55"/>
      <c r="AC21" s="55"/>
      <c r="AD21" s="1"/>
      <c r="AE21" s="1"/>
      <c r="AF21" s="55"/>
      <c r="AG21" s="1"/>
      <c r="AH21" s="1"/>
      <c r="AI21" s="1"/>
    </row>
    <row r="22" spans="1:35" ht="22.5" customHeight="1">
      <c r="A22" s="52" t="s">
        <v>161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63"/>
      <c r="N22" s="1">
        <f t="shared" si="0"/>
        <v>0</v>
      </c>
      <c r="O22" s="1"/>
      <c r="P22" s="1">
        <v>275</v>
      </c>
      <c r="Q22" s="55"/>
      <c r="R22" s="55"/>
      <c r="S22" s="55"/>
      <c r="T22" s="55"/>
      <c r="U22" s="55"/>
      <c r="V22" s="55"/>
      <c r="W22" s="55"/>
      <c r="X22" s="55"/>
      <c r="Y22" s="1"/>
      <c r="Z22" s="1"/>
      <c r="AA22" s="55"/>
      <c r="AB22" s="55"/>
      <c r="AC22" s="55"/>
      <c r="AD22" s="1"/>
      <c r="AE22" s="1"/>
      <c r="AF22" s="55"/>
      <c r="AG22" s="1"/>
      <c r="AH22" s="1"/>
      <c r="AI22" s="1"/>
    </row>
    <row r="23" spans="1:35" ht="22.5" customHeight="1">
      <c r="A23" s="52" t="s">
        <v>162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63"/>
      <c r="N23" s="1">
        <f t="shared" si="0"/>
        <v>0</v>
      </c>
      <c r="O23" s="1"/>
      <c r="P23" s="1">
        <v>407</v>
      </c>
      <c r="Q23" s="55"/>
      <c r="R23" s="55"/>
      <c r="S23" s="55"/>
      <c r="T23" s="55"/>
      <c r="U23" s="55"/>
      <c r="V23" s="55"/>
      <c r="W23" s="55"/>
      <c r="X23" s="55"/>
      <c r="Y23" s="1"/>
      <c r="Z23" s="1"/>
      <c r="AA23" s="55"/>
      <c r="AB23" s="55"/>
      <c r="AC23" s="55"/>
      <c r="AD23" s="1"/>
      <c r="AE23" s="1"/>
      <c r="AF23" s="55"/>
      <c r="AG23" s="1"/>
      <c r="AH23" s="1"/>
      <c r="AI23" s="1"/>
    </row>
    <row r="24" spans="1:35" ht="22.5" customHeight="1">
      <c r="A24" s="52" t="s">
        <v>163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63"/>
      <c r="N24" s="1">
        <f t="shared" si="0"/>
        <v>0</v>
      </c>
      <c r="O24" s="1"/>
      <c r="P24" s="1">
        <v>441</v>
      </c>
      <c r="Q24" s="55"/>
      <c r="R24" s="55"/>
      <c r="S24" s="55"/>
      <c r="T24" s="55"/>
      <c r="U24" s="55"/>
      <c r="V24" s="55"/>
      <c r="W24" s="55"/>
      <c r="X24" s="55"/>
      <c r="Y24" s="1"/>
      <c r="Z24" s="1"/>
      <c r="AA24" s="55"/>
      <c r="AB24" s="55"/>
      <c r="AC24" s="55"/>
      <c r="AD24" s="1"/>
      <c r="AE24" s="1"/>
      <c r="AF24" s="55"/>
      <c r="AG24" s="1"/>
      <c r="AH24" s="1"/>
      <c r="AI24" s="1"/>
    </row>
    <row r="25" spans="1:35" ht="22.5" customHeight="1">
      <c r="A25" s="52" t="s">
        <v>164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63"/>
      <c r="N25" s="1">
        <f t="shared" si="0"/>
        <v>0</v>
      </c>
      <c r="O25" s="1"/>
      <c r="P25" s="1">
        <v>218</v>
      </c>
      <c r="Q25" s="55"/>
      <c r="R25" s="55"/>
      <c r="S25" s="55"/>
      <c r="T25" s="55"/>
      <c r="U25" s="55"/>
      <c r="V25" s="55"/>
      <c r="W25" s="55"/>
      <c r="X25" s="55"/>
      <c r="Y25" s="1"/>
      <c r="Z25" s="1"/>
      <c r="AA25" s="55"/>
      <c r="AB25" s="55"/>
      <c r="AC25" s="55"/>
      <c r="AD25" s="1"/>
      <c r="AE25" s="1"/>
      <c r="AF25" s="55"/>
      <c r="AG25" s="1"/>
      <c r="AH25" s="1"/>
      <c r="AI25" s="1"/>
    </row>
    <row r="26" spans="1:35" ht="22.5" customHeight="1">
      <c r="A26" s="52" t="s">
        <v>165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63"/>
      <c r="N26" s="1">
        <f t="shared" si="0"/>
        <v>0</v>
      </c>
      <c r="O26" s="1"/>
      <c r="P26" s="1">
        <v>552</v>
      </c>
      <c r="Q26" s="55"/>
      <c r="R26" s="55"/>
      <c r="S26" s="55"/>
      <c r="T26" s="55"/>
      <c r="U26" s="55"/>
      <c r="V26" s="55"/>
      <c r="W26" s="55"/>
      <c r="X26" s="55"/>
      <c r="Y26" s="1"/>
      <c r="Z26" s="1"/>
      <c r="AA26" s="55"/>
      <c r="AB26" s="55"/>
      <c r="AC26" s="55"/>
      <c r="AD26" s="1"/>
      <c r="AE26" s="1"/>
      <c r="AF26" s="55"/>
      <c r="AG26" s="1"/>
      <c r="AH26" s="1"/>
      <c r="AI26" s="1"/>
    </row>
    <row r="27" spans="1:35" ht="22.5" customHeight="1">
      <c r="A27" s="52" t="s">
        <v>166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63"/>
      <c r="N27" s="1">
        <f t="shared" si="0"/>
        <v>0</v>
      </c>
      <c r="O27" s="1"/>
      <c r="P27" s="1">
        <v>391</v>
      </c>
      <c r="Q27" s="55"/>
      <c r="R27" s="55"/>
      <c r="S27" s="55"/>
      <c r="T27" s="55"/>
      <c r="U27" s="55"/>
      <c r="V27" s="55"/>
      <c r="W27" s="55"/>
      <c r="X27" s="55"/>
      <c r="Y27" s="1"/>
      <c r="Z27" s="1"/>
      <c r="AA27" s="55"/>
      <c r="AB27" s="55"/>
      <c r="AC27" s="55"/>
      <c r="AD27" s="1"/>
      <c r="AE27" s="1"/>
      <c r="AF27" s="55"/>
      <c r="AG27" s="1"/>
      <c r="AH27" s="1"/>
      <c r="AI27" s="1"/>
    </row>
    <row r="28" spans="1:35" ht="22.5" customHeight="1">
      <c r="A28" s="52" t="s">
        <v>167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63"/>
      <c r="N28" s="1">
        <f t="shared" si="0"/>
        <v>0</v>
      </c>
      <c r="O28" s="1"/>
      <c r="P28" s="1">
        <v>344</v>
      </c>
      <c r="Q28" s="55"/>
      <c r="R28" s="55"/>
      <c r="S28" s="55"/>
      <c r="T28" s="55"/>
      <c r="U28" s="55"/>
      <c r="V28" s="55"/>
      <c r="W28" s="55"/>
      <c r="X28" s="55"/>
      <c r="Y28" s="1"/>
      <c r="Z28" s="1"/>
      <c r="AA28" s="55"/>
      <c r="AB28" s="55"/>
      <c r="AC28" s="55"/>
      <c r="AD28" s="1"/>
      <c r="AE28" s="1"/>
      <c r="AF28" s="55"/>
      <c r="AG28" s="1"/>
      <c r="AH28" s="1"/>
      <c r="AI28" s="1"/>
    </row>
    <row r="29" spans="1:35" ht="22.5" customHeight="1">
      <c r="A29" s="52" t="s">
        <v>168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63"/>
      <c r="N29" s="1">
        <f t="shared" si="0"/>
        <v>0</v>
      </c>
      <c r="O29" s="1"/>
      <c r="P29" s="1">
        <v>600</v>
      </c>
      <c r="Q29" s="55"/>
      <c r="R29" s="55"/>
      <c r="S29" s="55"/>
      <c r="T29" s="55"/>
      <c r="U29" s="55"/>
      <c r="V29" s="55"/>
      <c r="W29" s="55"/>
      <c r="X29" s="55"/>
      <c r="Y29" s="1"/>
      <c r="Z29" s="1"/>
      <c r="AA29" s="55"/>
      <c r="AB29" s="55"/>
      <c r="AC29" s="55"/>
      <c r="AD29" s="1"/>
      <c r="AE29" s="1"/>
      <c r="AF29" s="55"/>
      <c r="AG29" s="1"/>
      <c r="AH29" s="1"/>
      <c r="AI29" s="1"/>
    </row>
    <row r="30" spans="1:35" ht="22.5" customHeight="1">
      <c r="A30" s="52" t="s">
        <v>169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63"/>
      <c r="N30" s="1">
        <f t="shared" si="0"/>
        <v>0</v>
      </c>
      <c r="O30" s="1"/>
      <c r="P30" s="1">
        <v>420</v>
      </c>
      <c r="Q30" s="55"/>
      <c r="R30" s="55"/>
      <c r="S30" s="55"/>
      <c r="T30" s="55"/>
      <c r="U30" s="55"/>
      <c r="V30" s="55"/>
      <c r="W30" s="55"/>
      <c r="X30" s="55"/>
      <c r="Y30" s="1"/>
      <c r="Z30" s="1"/>
      <c r="AA30" s="55"/>
      <c r="AB30" s="55"/>
      <c r="AC30" s="55"/>
      <c r="AD30" s="1"/>
      <c r="AE30" s="1"/>
      <c r="AF30" s="55"/>
      <c r="AG30" s="1"/>
      <c r="AH30" s="1"/>
      <c r="AI30" s="1"/>
    </row>
    <row r="31" spans="1:35" ht="22.5" customHeight="1">
      <c r="A31" s="52" t="s">
        <v>170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63"/>
      <c r="N31" s="1">
        <f t="shared" si="0"/>
        <v>0</v>
      </c>
      <c r="O31" s="1"/>
      <c r="P31" s="1">
        <v>476</v>
      </c>
      <c r="Q31" s="55"/>
      <c r="R31" s="55"/>
      <c r="S31" s="55"/>
      <c r="T31" s="55"/>
      <c r="U31" s="55"/>
      <c r="V31" s="55"/>
      <c r="W31" s="55"/>
      <c r="X31" s="55"/>
      <c r="Y31" s="1"/>
      <c r="Z31" s="1"/>
      <c r="AA31" s="55"/>
      <c r="AB31" s="55"/>
      <c r="AC31" s="55"/>
      <c r="AD31" s="1"/>
      <c r="AE31" s="1"/>
      <c r="AF31" s="55"/>
      <c r="AG31" s="1"/>
      <c r="AH31" s="1"/>
      <c r="AI31" s="1"/>
    </row>
    <row r="32" spans="1:35" ht="22.5" customHeight="1">
      <c r="A32" s="52" t="s">
        <v>171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63"/>
      <c r="N32" s="1">
        <f t="shared" si="0"/>
        <v>0</v>
      </c>
      <c r="O32" s="1"/>
      <c r="P32" s="1">
        <v>576</v>
      </c>
      <c r="Q32" s="55"/>
      <c r="R32" s="55"/>
      <c r="S32" s="55"/>
      <c r="T32" s="55"/>
      <c r="U32" s="55"/>
      <c r="V32" s="55"/>
      <c r="W32" s="55"/>
      <c r="X32" s="55"/>
      <c r="Y32" s="1"/>
      <c r="Z32" s="1"/>
      <c r="AA32" s="55"/>
      <c r="AB32" s="55"/>
      <c r="AC32" s="55"/>
      <c r="AD32" s="1"/>
      <c r="AE32" s="1"/>
      <c r="AF32" s="55"/>
      <c r="AG32" s="1"/>
      <c r="AH32" s="1"/>
      <c r="AI32" s="1"/>
    </row>
    <row r="33" spans="1:35" ht="22.5" customHeight="1">
      <c r="A33" s="52" t="s">
        <v>172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63"/>
      <c r="N33" s="1">
        <f t="shared" si="0"/>
        <v>0</v>
      </c>
      <c r="O33" s="1"/>
      <c r="P33" s="1">
        <v>284</v>
      </c>
      <c r="Q33" s="55"/>
      <c r="R33" s="55"/>
      <c r="S33" s="55"/>
      <c r="T33" s="55"/>
      <c r="U33" s="55"/>
      <c r="V33" s="55"/>
      <c r="W33" s="55"/>
      <c r="X33" s="55"/>
      <c r="Y33" s="1"/>
      <c r="Z33" s="1"/>
      <c r="AA33" s="55"/>
      <c r="AB33" s="55"/>
      <c r="AC33" s="55"/>
      <c r="AD33" s="1"/>
      <c r="AE33" s="1"/>
      <c r="AF33" s="55"/>
      <c r="AG33" s="1"/>
      <c r="AH33" s="1"/>
      <c r="AI33" s="1"/>
    </row>
    <row r="34" spans="1:35" ht="22.5" customHeight="1">
      <c r="A34" s="52" t="s">
        <v>173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63"/>
      <c r="N34" s="1">
        <f t="shared" si="0"/>
        <v>0</v>
      </c>
      <c r="O34" s="1"/>
      <c r="P34" s="1">
        <v>408</v>
      </c>
      <c r="Q34" s="55"/>
      <c r="R34" s="55"/>
      <c r="S34" s="55"/>
      <c r="T34" s="55"/>
      <c r="U34" s="55"/>
      <c r="V34" s="55"/>
      <c r="W34" s="55"/>
      <c r="X34" s="55"/>
      <c r="Y34" s="1"/>
      <c r="Z34" s="1"/>
      <c r="AA34" s="55"/>
      <c r="AB34" s="55"/>
      <c r="AC34" s="55"/>
      <c r="AD34" s="1"/>
      <c r="AE34" s="1"/>
      <c r="AF34" s="55"/>
      <c r="AG34" s="1"/>
      <c r="AH34" s="1"/>
      <c r="AI34" s="1"/>
    </row>
    <row r="35" spans="1:35" ht="22.5" customHeight="1">
      <c r="A35" s="52" t="s">
        <v>174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63"/>
      <c r="N35" s="1">
        <f t="shared" si="0"/>
        <v>0</v>
      </c>
      <c r="O35" s="1"/>
      <c r="P35" s="1">
        <v>480</v>
      </c>
      <c r="Q35" s="55"/>
      <c r="R35" s="55"/>
      <c r="S35" s="55"/>
      <c r="T35" s="55"/>
      <c r="U35" s="55"/>
      <c r="V35" s="55"/>
      <c r="W35" s="55"/>
      <c r="X35" s="55"/>
      <c r="Y35" s="1"/>
      <c r="Z35" s="1"/>
      <c r="AA35" s="55"/>
      <c r="AB35" s="55"/>
      <c r="AC35" s="55"/>
      <c r="AD35" s="1"/>
      <c r="AE35" s="1"/>
      <c r="AF35" s="55"/>
      <c r="AG35" s="1"/>
      <c r="AH35" s="1"/>
      <c r="AI35" s="1"/>
    </row>
    <row r="36" spans="1:35" ht="22.5" customHeight="1">
      <c r="A36" s="52" t="s">
        <v>175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63"/>
      <c r="N36" s="1">
        <f t="shared" si="0"/>
        <v>0</v>
      </c>
      <c r="O36" s="1"/>
      <c r="P36" s="1">
        <v>432</v>
      </c>
      <c r="Q36" s="55"/>
      <c r="R36" s="55"/>
      <c r="S36" s="55"/>
      <c r="T36" s="55"/>
      <c r="U36" s="55"/>
      <c r="V36" s="55"/>
      <c r="W36" s="55"/>
      <c r="X36" s="55"/>
      <c r="Y36" s="1"/>
      <c r="Z36" s="1"/>
      <c r="AA36" s="55"/>
      <c r="AB36" s="55"/>
      <c r="AC36" s="55"/>
      <c r="AD36" s="1"/>
      <c r="AE36" s="1"/>
      <c r="AF36" s="55"/>
      <c r="AG36" s="1"/>
      <c r="AH36" s="1"/>
      <c r="AI36" s="1"/>
    </row>
    <row r="37" spans="1:35" ht="22.5" customHeight="1">
      <c r="A37" s="52" t="s">
        <v>176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3"/>
      <c r="N37" s="1">
        <f t="shared" si="0"/>
        <v>0</v>
      </c>
      <c r="O37" s="1"/>
      <c r="P37" s="1">
        <v>280</v>
      </c>
      <c r="Q37" s="55"/>
      <c r="R37" s="55"/>
      <c r="S37" s="55"/>
      <c r="T37" s="55"/>
      <c r="U37" s="55"/>
      <c r="V37" s="55"/>
      <c r="W37" s="55"/>
      <c r="X37" s="55"/>
      <c r="Y37" s="1"/>
      <c r="Z37" s="1"/>
      <c r="AA37" s="55"/>
      <c r="AB37" s="55"/>
      <c r="AC37" s="55"/>
      <c r="AD37" s="1"/>
      <c r="AE37" s="1"/>
      <c r="AF37" s="55"/>
      <c r="AG37" s="1"/>
      <c r="AH37" s="1"/>
      <c r="AI37" s="1"/>
    </row>
    <row r="38" spans="1:35" ht="22.5" customHeight="1">
      <c r="A38" s="52" t="s">
        <v>177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63"/>
      <c r="N38" s="1">
        <f t="shared" si="0"/>
        <v>0</v>
      </c>
      <c r="O38" s="1"/>
      <c r="P38" s="1">
        <v>274</v>
      </c>
      <c r="Q38" s="55"/>
      <c r="R38" s="55"/>
      <c r="S38" s="55"/>
      <c r="T38" s="55"/>
      <c r="U38" s="55"/>
      <c r="V38" s="55"/>
      <c r="W38" s="55"/>
      <c r="X38" s="55"/>
      <c r="Y38" s="1"/>
      <c r="Z38" s="1"/>
      <c r="AA38" s="55"/>
      <c r="AB38" s="55"/>
      <c r="AC38" s="55"/>
      <c r="AD38" s="1"/>
      <c r="AE38" s="1"/>
      <c r="AF38" s="55"/>
      <c r="AG38" s="1"/>
      <c r="AH38" s="1"/>
      <c r="AI38" s="1"/>
    </row>
    <row r="39" spans="1:35" ht="22.5" customHeight="1">
      <c r="A39" s="52" t="s">
        <v>178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63"/>
      <c r="N39" s="1">
        <f t="shared" si="0"/>
        <v>0</v>
      </c>
      <c r="O39" s="1"/>
      <c r="P39" s="1">
        <v>400</v>
      </c>
      <c r="Q39" s="55"/>
      <c r="R39" s="55"/>
      <c r="S39" s="55"/>
      <c r="T39" s="55"/>
      <c r="U39" s="55"/>
      <c r="V39" s="55"/>
      <c r="W39" s="55"/>
      <c r="X39" s="55"/>
      <c r="Y39" s="1"/>
      <c r="Z39" s="1"/>
      <c r="AA39" s="55"/>
      <c r="AB39" s="55"/>
      <c r="AC39" s="55"/>
      <c r="AD39" s="1"/>
      <c r="AE39" s="1"/>
      <c r="AF39" s="55"/>
      <c r="AG39" s="1"/>
      <c r="AH39" s="1"/>
      <c r="AI39" s="1"/>
    </row>
    <row r="40" spans="1:35" ht="22.5" customHeight="1">
      <c r="A40" s="52" t="s">
        <v>179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63"/>
      <c r="N40" s="1">
        <f t="shared" si="0"/>
        <v>0</v>
      </c>
      <c r="O40" s="1"/>
      <c r="P40" s="1">
        <v>126</v>
      </c>
      <c r="Q40" s="55"/>
      <c r="R40" s="55"/>
      <c r="S40" s="55"/>
      <c r="T40" s="55"/>
      <c r="U40" s="55"/>
      <c r="V40" s="55"/>
      <c r="W40" s="55"/>
      <c r="X40" s="55"/>
      <c r="Y40" s="1"/>
      <c r="Z40" s="1"/>
      <c r="AA40" s="55"/>
      <c r="AB40" s="55"/>
      <c r="AC40" s="55"/>
      <c r="AD40" s="1"/>
      <c r="AE40" s="1"/>
      <c r="AF40" s="55"/>
      <c r="AG40" s="1"/>
      <c r="AH40" s="1"/>
      <c r="AI40" s="1"/>
    </row>
    <row r="41" spans="1:35" ht="22.5" customHeight="1">
      <c r="A41" s="52" t="s">
        <v>180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63"/>
      <c r="N41" s="1">
        <f t="shared" si="0"/>
        <v>0</v>
      </c>
      <c r="O41" s="1"/>
      <c r="P41" s="1">
        <v>628</v>
      </c>
      <c r="Q41" s="55"/>
      <c r="R41" s="55"/>
      <c r="S41" s="55"/>
      <c r="T41" s="55"/>
      <c r="U41" s="55"/>
      <c r="V41" s="55"/>
      <c r="W41" s="55"/>
      <c r="X41" s="55"/>
      <c r="Y41" s="1"/>
      <c r="Z41" s="1"/>
      <c r="AA41" s="55"/>
      <c r="AB41" s="55"/>
      <c r="AC41" s="55"/>
      <c r="AD41" s="1"/>
      <c r="AE41" s="1"/>
      <c r="AF41" s="55"/>
      <c r="AG41" s="1"/>
      <c r="AH41" s="1"/>
      <c r="AI41" s="1"/>
    </row>
    <row r="42" spans="1:35" ht="22.5" customHeight="1">
      <c r="A42" s="52" t="s">
        <v>181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63"/>
      <c r="N42" s="1">
        <f t="shared" si="0"/>
        <v>0</v>
      </c>
      <c r="O42" s="1"/>
      <c r="P42" s="1">
        <v>436</v>
      </c>
      <c r="Q42" s="55"/>
      <c r="R42" s="55"/>
      <c r="S42" s="55"/>
      <c r="T42" s="55"/>
      <c r="U42" s="55"/>
      <c r="V42" s="55"/>
      <c r="W42" s="55"/>
      <c r="X42" s="55"/>
      <c r="Y42" s="1"/>
      <c r="Z42" s="1"/>
      <c r="AA42" s="55"/>
      <c r="AB42" s="55"/>
      <c r="AC42" s="55"/>
      <c r="AD42" s="1"/>
      <c r="AE42" s="1"/>
      <c r="AF42" s="55"/>
      <c r="AG42" s="1"/>
      <c r="AH42" s="1"/>
      <c r="AI42" s="1"/>
    </row>
    <row r="43" spans="1:35" ht="22.5" customHeight="1">
      <c r="A43" s="52" t="s">
        <v>182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63"/>
      <c r="N43" s="1">
        <f t="shared" si="0"/>
        <v>0</v>
      </c>
      <c r="O43" s="1"/>
      <c r="P43" s="1">
        <v>260</v>
      </c>
      <c r="Q43" s="55"/>
      <c r="R43" s="55"/>
      <c r="S43" s="55"/>
      <c r="T43" s="55"/>
      <c r="U43" s="55"/>
      <c r="V43" s="55"/>
      <c r="W43" s="55"/>
      <c r="X43" s="55"/>
      <c r="Y43" s="1"/>
      <c r="Z43" s="1"/>
      <c r="AA43" s="55"/>
      <c r="AB43" s="55"/>
      <c r="AC43" s="55"/>
      <c r="AD43" s="1"/>
      <c r="AE43" s="1"/>
      <c r="AF43" s="55"/>
      <c r="AG43" s="1"/>
      <c r="AH43" s="1"/>
      <c r="AI43" s="1"/>
    </row>
    <row r="44" spans="1:35" ht="22.5" customHeight="1">
      <c r="A44" s="52" t="s">
        <v>183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63"/>
      <c r="N44" s="1">
        <f t="shared" si="0"/>
        <v>0</v>
      </c>
      <c r="O44" s="1"/>
      <c r="P44" s="1">
        <v>408</v>
      </c>
      <c r="Q44" s="55"/>
      <c r="R44" s="55"/>
      <c r="S44" s="55"/>
      <c r="T44" s="55"/>
      <c r="U44" s="55"/>
      <c r="V44" s="55"/>
      <c r="W44" s="55"/>
      <c r="X44" s="55"/>
      <c r="Y44" s="1"/>
      <c r="Z44" s="1"/>
      <c r="AA44" s="55"/>
      <c r="AB44" s="55"/>
      <c r="AC44" s="55"/>
      <c r="AD44" s="1"/>
      <c r="AE44" s="1"/>
      <c r="AF44" s="55"/>
      <c r="AG44" s="1"/>
      <c r="AH44" s="1"/>
      <c r="AI44" s="1"/>
    </row>
    <row r="45" spans="1:35" ht="22.5" customHeight="1">
      <c r="A45" s="52" t="s">
        <v>184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63"/>
      <c r="N45" s="1">
        <f t="shared" si="0"/>
        <v>0</v>
      </c>
      <c r="O45" s="1"/>
      <c r="P45" s="1">
        <v>234</v>
      </c>
      <c r="Q45" s="55"/>
      <c r="R45" s="55"/>
      <c r="S45" s="55"/>
      <c r="T45" s="55"/>
      <c r="U45" s="55"/>
      <c r="V45" s="55"/>
      <c r="W45" s="55"/>
      <c r="X45" s="55"/>
      <c r="Y45" s="1"/>
      <c r="Z45" s="1"/>
      <c r="AA45" s="55"/>
      <c r="AB45" s="55"/>
      <c r="AC45" s="55"/>
      <c r="AD45" s="1"/>
      <c r="AE45" s="1"/>
      <c r="AF45" s="55"/>
      <c r="AG45" s="1"/>
      <c r="AH45" s="1"/>
      <c r="AI45" s="1"/>
    </row>
    <row r="46" spans="1:35" ht="22.5" customHeight="1">
      <c r="A46" s="52" t="s">
        <v>185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63"/>
      <c r="N46" s="1">
        <f t="shared" si="0"/>
        <v>0</v>
      </c>
      <c r="O46" s="1"/>
      <c r="P46" s="1">
        <v>384</v>
      </c>
      <c r="Q46" s="55"/>
      <c r="R46" s="55"/>
      <c r="S46" s="55"/>
      <c r="T46" s="55"/>
      <c r="U46" s="55"/>
      <c r="V46" s="55"/>
      <c r="W46" s="55"/>
      <c r="X46" s="55"/>
      <c r="Y46" s="1"/>
      <c r="Z46" s="1"/>
      <c r="AA46" s="55"/>
      <c r="AB46" s="55"/>
      <c r="AC46" s="55"/>
      <c r="AD46" s="1"/>
      <c r="AE46" s="1"/>
      <c r="AF46" s="55"/>
      <c r="AG46" s="1"/>
      <c r="AH46" s="1"/>
      <c r="AI46" s="1"/>
    </row>
    <row r="47" spans="1:35" ht="22.5" customHeight="1">
      <c r="A47" s="52" t="s">
        <v>186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63"/>
      <c r="N47" s="1">
        <f t="shared" si="0"/>
        <v>0</v>
      </c>
      <c r="O47" s="1"/>
      <c r="P47" s="1">
        <v>618</v>
      </c>
      <c r="Q47" s="55"/>
      <c r="R47" s="55"/>
      <c r="S47" s="55"/>
      <c r="T47" s="55"/>
      <c r="U47" s="55"/>
      <c r="V47" s="55"/>
      <c r="W47" s="55"/>
      <c r="X47" s="55"/>
      <c r="Y47" s="1"/>
      <c r="Z47" s="1"/>
      <c r="AA47" s="55"/>
      <c r="AB47" s="55"/>
      <c r="AC47" s="55"/>
      <c r="AD47" s="1"/>
      <c r="AE47" s="1"/>
      <c r="AF47" s="55"/>
      <c r="AG47" s="1"/>
      <c r="AH47" s="1"/>
      <c r="AI47" s="1"/>
    </row>
    <row r="48" spans="1:35" ht="22.5" customHeight="1">
      <c r="A48" s="52" t="s">
        <v>187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63"/>
      <c r="N48" s="1">
        <f t="shared" si="0"/>
        <v>0</v>
      </c>
      <c r="O48" s="1"/>
      <c r="P48" s="1">
        <v>352</v>
      </c>
      <c r="Q48" s="55"/>
      <c r="R48" s="55"/>
      <c r="S48" s="55"/>
      <c r="T48" s="55"/>
      <c r="U48" s="55"/>
      <c r="V48" s="55"/>
      <c r="W48" s="55"/>
      <c r="X48" s="55"/>
      <c r="Y48" s="1"/>
      <c r="Z48" s="1"/>
      <c r="AA48" s="55"/>
      <c r="AB48" s="55"/>
      <c r="AC48" s="55"/>
      <c r="AD48" s="1"/>
      <c r="AE48" s="1"/>
      <c r="AF48" s="55"/>
      <c r="AG48" s="1"/>
      <c r="AH48" s="1"/>
      <c r="AI48" s="1"/>
    </row>
    <row r="49" spans="1:35" ht="22.5" customHeight="1">
      <c r="A49" s="52" t="s">
        <v>188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63"/>
      <c r="N49" s="1">
        <f t="shared" si="0"/>
        <v>0</v>
      </c>
      <c r="O49" s="1"/>
      <c r="P49" s="1">
        <v>413</v>
      </c>
      <c r="Q49" s="55"/>
      <c r="R49" s="55"/>
      <c r="S49" s="55"/>
      <c r="T49" s="55"/>
      <c r="U49" s="55"/>
      <c r="V49" s="55"/>
      <c r="W49" s="55"/>
      <c r="X49" s="55"/>
      <c r="Y49" s="1"/>
      <c r="Z49" s="1"/>
      <c r="AA49" s="55"/>
      <c r="AB49" s="55"/>
      <c r="AC49" s="55"/>
      <c r="AD49" s="1"/>
      <c r="AE49" s="1"/>
      <c r="AF49" s="55"/>
      <c r="AG49" s="1"/>
      <c r="AH49" s="1"/>
      <c r="AI49" s="1"/>
    </row>
    <row r="50" spans="1:35" ht="22.5" customHeight="1">
      <c r="A50" s="52" t="s">
        <v>189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63"/>
      <c r="N50" s="1">
        <f t="shared" si="0"/>
        <v>0</v>
      </c>
      <c r="O50" s="1"/>
      <c r="P50" s="1">
        <v>304</v>
      </c>
      <c r="Q50" s="55"/>
      <c r="R50" s="55"/>
      <c r="S50" s="55"/>
      <c r="T50" s="55"/>
      <c r="U50" s="55"/>
      <c r="V50" s="55"/>
      <c r="W50" s="55"/>
      <c r="X50" s="55"/>
      <c r="Y50" s="1"/>
      <c r="Z50" s="1"/>
      <c r="AA50" s="55"/>
      <c r="AB50" s="55"/>
      <c r="AC50" s="55"/>
      <c r="AD50" s="1"/>
      <c r="AE50" s="1"/>
      <c r="AF50" s="55"/>
      <c r="AG50" s="1"/>
      <c r="AH50" s="1"/>
      <c r="AI50" s="1"/>
    </row>
    <row r="51" spans="1:35" ht="22.5" customHeight="1">
      <c r="A51" s="52" t="s">
        <v>190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63"/>
      <c r="N51" s="1">
        <f t="shared" si="0"/>
        <v>0</v>
      </c>
      <c r="O51" s="1"/>
      <c r="P51" s="1">
        <v>694</v>
      </c>
      <c r="Q51" s="55"/>
      <c r="R51" s="55"/>
      <c r="S51" s="55"/>
      <c r="T51" s="55"/>
      <c r="U51" s="55"/>
      <c r="V51" s="55"/>
      <c r="W51" s="55"/>
      <c r="X51" s="55"/>
      <c r="Y51" s="1"/>
      <c r="Z51" s="1"/>
      <c r="AA51" s="55"/>
      <c r="AB51" s="55"/>
      <c r="AC51" s="55"/>
      <c r="AD51" s="1"/>
      <c r="AE51" s="1"/>
      <c r="AF51" s="55"/>
      <c r="AG51" s="1"/>
      <c r="AH51" s="1"/>
      <c r="AI51" s="1"/>
    </row>
    <row r="52" spans="1:35" ht="22.5" customHeight="1">
      <c r="A52" s="52" t="s">
        <v>191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63"/>
      <c r="N52" s="1">
        <f t="shared" si="0"/>
        <v>0</v>
      </c>
      <c r="O52" s="1"/>
      <c r="P52" s="1">
        <v>416</v>
      </c>
      <c r="Q52" s="55"/>
      <c r="R52" s="55"/>
      <c r="S52" s="55"/>
      <c r="T52" s="55"/>
      <c r="U52" s="55"/>
      <c r="V52" s="55"/>
      <c r="W52" s="55"/>
      <c r="X52" s="55"/>
      <c r="Y52" s="1"/>
      <c r="Z52" s="1"/>
      <c r="AA52" s="55"/>
      <c r="AB52" s="55"/>
      <c r="AC52" s="55"/>
      <c r="AD52" s="1"/>
      <c r="AE52" s="1"/>
      <c r="AF52" s="55"/>
      <c r="AG52" s="1"/>
      <c r="AH52" s="1"/>
      <c r="AI52" s="1"/>
    </row>
    <row r="53" spans="1:35" ht="22.5" customHeight="1">
      <c r="A53" s="52" t="s">
        <v>192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3"/>
      <c r="N53" s="1">
        <f t="shared" si="0"/>
        <v>0</v>
      </c>
      <c r="O53" s="1"/>
      <c r="P53" s="1">
        <v>562</v>
      </c>
      <c r="Q53" s="55"/>
      <c r="R53" s="55"/>
      <c r="S53" s="55"/>
      <c r="T53" s="55"/>
      <c r="U53" s="55"/>
      <c r="V53" s="55"/>
      <c r="W53" s="55"/>
      <c r="X53" s="55"/>
      <c r="Y53" s="1"/>
      <c r="Z53" s="1"/>
      <c r="AA53" s="55"/>
      <c r="AB53" s="55"/>
      <c r="AC53" s="55"/>
      <c r="AD53" s="1"/>
      <c r="AE53" s="1"/>
      <c r="AF53" s="55"/>
      <c r="AG53" s="1"/>
      <c r="AH53" s="1"/>
      <c r="AI53" s="1"/>
    </row>
    <row r="54" spans="1:35" ht="22.5" customHeight="1">
      <c r="A54" s="52" t="s">
        <v>193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63"/>
      <c r="N54" s="1">
        <f t="shared" si="0"/>
        <v>0</v>
      </c>
      <c r="O54" s="1"/>
      <c r="P54" s="1">
        <v>332</v>
      </c>
      <c r="Q54" s="55"/>
      <c r="R54" s="55"/>
      <c r="S54" s="55"/>
      <c r="T54" s="55"/>
      <c r="U54" s="55"/>
      <c r="V54" s="55"/>
      <c r="W54" s="55"/>
      <c r="X54" s="55"/>
      <c r="Y54" s="1"/>
      <c r="Z54" s="1"/>
      <c r="AA54" s="55"/>
      <c r="AB54" s="55"/>
      <c r="AC54" s="55"/>
      <c r="AD54" s="1"/>
      <c r="AE54" s="1"/>
      <c r="AF54" s="55"/>
      <c r="AG54" s="1"/>
      <c r="AH54" s="1"/>
      <c r="AI54" s="1"/>
    </row>
    <row r="55" spans="1:35" ht="22.5" customHeight="1">
      <c r="A55" s="52" t="s">
        <v>194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63"/>
      <c r="N55" s="1">
        <f t="shared" si="0"/>
        <v>0</v>
      </c>
      <c r="O55" s="1"/>
      <c r="P55" s="1">
        <v>244</v>
      </c>
      <c r="Q55" s="55"/>
      <c r="R55" s="55"/>
      <c r="S55" s="55"/>
      <c r="T55" s="55"/>
      <c r="U55" s="55"/>
      <c r="V55" s="55"/>
      <c r="W55" s="55"/>
      <c r="X55" s="55"/>
      <c r="Y55" s="1"/>
      <c r="Z55" s="1"/>
      <c r="AA55" s="55"/>
      <c r="AB55" s="55"/>
      <c r="AC55" s="55"/>
      <c r="AD55" s="1"/>
      <c r="AE55" s="1"/>
      <c r="AF55" s="55"/>
      <c r="AG55" s="1"/>
      <c r="AH55" s="1"/>
      <c r="AI55" s="1"/>
    </row>
    <row r="56" spans="1:35" ht="22.5" customHeight="1">
      <c r="A56" s="52" t="s">
        <v>195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63"/>
      <c r="N56" s="1">
        <f t="shared" si="0"/>
        <v>0</v>
      </c>
      <c r="O56" s="1"/>
      <c r="P56" s="1">
        <v>616</v>
      </c>
      <c r="Q56" s="55"/>
      <c r="R56" s="55"/>
      <c r="S56" s="55"/>
      <c r="T56" s="55"/>
      <c r="U56" s="55"/>
      <c r="V56" s="55"/>
      <c r="W56" s="55"/>
      <c r="X56" s="55"/>
      <c r="Y56" s="1"/>
      <c r="Z56" s="1"/>
      <c r="AA56" s="55"/>
      <c r="AB56" s="55"/>
      <c r="AC56" s="55"/>
      <c r="AD56" s="1"/>
      <c r="AE56" s="1"/>
      <c r="AF56" s="55"/>
      <c r="AG56" s="1"/>
      <c r="AH56" s="1"/>
      <c r="AI56" s="1"/>
    </row>
    <row r="57" spans="1:35" ht="22.5" customHeight="1">
      <c r="A57" s="52" t="s">
        <v>196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63"/>
      <c r="N57" s="1">
        <f t="shared" si="0"/>
        <v>0</v>
      </c>
      <c r="O57" s="1"/>
      <c r="P57" s="1">
        <v>412</v>
      </c>
      <c r="Q57" s="55"/>
      <c r="R57" s="55"/>
      <c r="S57" s="55"/>
      <c r="T57" s="55"/>
      <c r="U57" s="55"/>
      <c r="V57" s="55"/>
      <c r="W57" s="55"/>
      <c r="X57" s="55"/>
      <c r="Y57" s="1"/>
      <c r="Z57" s="1"/>
      <c r="AA57" s="55"/>
      <c r="AB57" s="55"/>
      <c r="AC57" s="55"/>
      <c r="AD57" s="1"/>
      <c r="AE57" s="1"/>
      <c r="AF57" s="55"/>
      <c r="AG57" s="1"/>
      <c r="AH57" s="1"/>
      <c r="AI57" s="1"/>
    </row>
    <row r="58" spans="1:35" ht="22.5" customHeight="1">
      <c r="A58" s="52" t="s">
        <v>197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63"/>
      <c r="N58" s="1">
        <f t="shared" si="0"/>
        <v>0</v>
      </c>
      <c r="O58" s="1"/>
      <c r="P58" s="1">
        <v>220</v>
      </c>
      <c r="Q58" s="55"/>
      <c r="R58" s="55"/>
      <c r="S58" s="55"/>
      <c r="T58" s="55"/>
      <c r="U58" s="55"/>
      <c r="V58" s="55"/>
      <c r="W58" s="55"/>
      <c r="X58" s="55"/>
      <c r="Y58" s="1"/>
      <c r="Z58" s="1"/>
      <c r="AA58" s="55"/>
      <c r="AB58" s="55"/>
      <c r="AC58" s="55"/>
      <c r="AD58" s="1"/>
      <c r="AE58" s="1"/>
      <c r="AF58" s="55"/>
      <c r="AG58" s="1"/>
      <c r="AH58" s="1"/>
      <c r="AI58" s="1"/>
    </row>
    <row r="59" spans="1:35" ht="22.5" customHeight="1">
      <c r="A59" s="52" t="s">
        <v>198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63"/>
      <c r="N59" s="1">
        <f t="shared" si="0"/>
        <v>0</v>
      </c>
      <c r="O59" s="1"/>
      <c r="P59" s="1">
        <v>184</v>
      </c>
      <c r="Q59" s="55"/>
      <c r="R59" s="55"/>
      <c r="S59" s="55"/>
      <c r="T59" s="55"/>
      <c r="U59" s="55"/>
      <c r="V59" s="55"/>
      <c r="W59" s="55"/>
      <c r="X59" s="55"/>
      <c r="Y59" s="1"/>
      <c r="Z59" s="1"/>
      <c r="AA59" s="55"/>
      <c r="AB59" s="55"/>
      <c r="AC59" s="55"/>
      <c r="AD59" s="1"/>
      <c r="AE59" s="1"/>
      <c r="AF59" s="55"/>
      <c r="AG59" s="1"/>
      <c r="AH59" s="1"/>
      <c r="AI59" s="1"/>
    </row>
    <row r="60" spans="1:35" ht="22.5" customHeight="1">
      <c r="A60" s="52" t="s">
        <v>199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63"/>
      <c r="N60" s="1">
        <f t="shared" si="0"/>
        <v>0</v>
      </c>
      <c r="O60" s="1"/>
      <c r="P60" s="1">
        <v>446</v>
      </c>
      <c r="Q60" s="55"/>
      <c r="R60" s="55"/>
      <c r="S60" s="55"/>
      <c r="T60" s="55"/>
      <c r="U60" s="55"/>
      <c r="V60" s="55"/>
      <c r="W60" s="55"/>
      <c r="X60" s="55"/>
      <c r="Y60" s="1"/>
      <c r="Z60" s="1"/>
      <c r="AA60" s="55"/>
      <c r="AB60" s="55"/>
      <c r="AC60" s="55"/>
      <c r="AD60" s="1"/>
      <c r="AE60" s="1"/>
      <c r="AF60" s="55"/>
      <c r="AG60" s="1"/>
      <c r="AH60" s="1"/>
      <c r="AI60" s="1"/>
    </row>
    <row r="61" spans="1:35" ht="22.5" customHeight="1">
      <c r="A61" s="52" t="s">
        <v>200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63"/>
      <c r="N61" s="1">
        <f t="shared" si="0"/>
        <v>0</v>
      </c>
      <c r="O61" s="1"/>
      <c r="P61" s="1">
        <v>304</v>
      </c>
      <c r="Q61" s="55"/>
      <c r="R61" s="55"/>
      <c r="S61" s="55"/>
      <c r="T61" s="55"/>
      <c r="U61" s="55"/>
      <c r="V61" s="55"/>
      <c r="W61" s="55"/>
      <c r="X61" s="55"/>
      <c r="Y61" s="1"/>
      <c r="Z61" s="1"/>
      <c r="AA61" s="55"/>
      <c r="AB61" s="55"/>
      <c r="AC61" s="55"/>
      <c r="AD61" s="1"/>
      <c r="AE61" s="1"/>
      <c r="AF61" s="55"/>
      <c r="AG61" s="1"/>
      <c r="AH61" s="1"/>
      <c r="AI61" s="1"/>
    </row>
    <row r="62" spans="1:35" ht="22.5" customHeight="1">
      <c r="A62" s="52" t="s">
        <v>201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63"/>
      <c r="N62" s="1">
        <f t="shared" si="0"/>
        <v>0</v>
      </c>
      <c r="O62" s="1"/>
      <c r="P62" s="1">
        <v>512</v>
      </c>
      <c r="Q62" s="55"/>
      <c r="R62" s="55"/>
      <c r="S62" s="55"/>
      <c r="T62" s="55"/>
      <c r="U62" s="55"/>
      <c r="V62" s="55"/>
      <c r="W62" s="55"/>
      <c r="X62" s="55"/>
      <c r="Y62" s="1"/>
      <c r="Z62" s="1"/>
      <c r="AA62" s="55"/>
      <c r="AB62" s="55"/>
      <c r="AC62" s="55"/>
      <c r="AD62" s="1"/>
      <c r="AE62" s="1"/>
      <c r="AF62" s="55"/>
      <c r="AG62" s="1"/>
      <c r="AH62" s="1"/>
      <c r="AI62" s="1"/>
    </row>
    <row r="63" spans="1:35" ht="22.5" customHeight="1">
      <c r="A63" s="52" t="s">
        <v>202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63"/>
      <c r="N63" s="1">
        <f t="shared" si="0"/>
        <v>0</v>
      </c>
      <c r="O63" s="1"/>
      <c r="P63" s="1">
        <v>282</v>
      </c>
      <c r="Q63" s="55"/>
      <c r="R63" s="55"/>
      <c r="S63" s="55"/>
      <c r="T63" s="55"/>
      <c r="U63" s="55"/>
      <c r="V63" s="55"/>
      <c r="W63" s="55"/>
      <c r="X63" s="55"/>
      <c r="Y63" s="1"/>
      <c r="Z63" s="1"/>
      <c r="AA63" s="55"/>
      <c r="AB63" s="55"/>
      <c r="AC63" s="55"/>
      <c r="AD63" s="1"/>
      <c r="AE63" s="1"/>
      <c r="AF63" s="55"/>
      <c r="AG63" s="1"/>
      <c r="AH63" s="1"/>
      <c r="AI63" s="1"/>
    </row>
    <row r="64" spans="1:35" ht="22.5" customHeight="1">
      <c r="A64" s="52" t="s">
        <v>203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63"/>
      <c r="N64" s="1">
        <f t="shared" si="0"/>
        <v>0</v>
      </c>
      <c r="O64" s="1"/>
      <c r="P64" s="1">
        <v>256</v>
      </c>
      <c r="Q64" s="55"/>
      <c r="R64" s="55"/>
      <c r="S64" s="55"/>
      <c r="T64" s="55"/>
      <c r="U64" s="55"/>
      <c r="V64" s="55"/>
      <c r="W64" s="55"/>
      <c r="X64" s="55"/>
      <c r="Y64" s="1"/>
      <c r="Z64" s="1"/>
      <c r="AA64" s="55"/>
      <c r="AB64" s="55"/>
      <c r="AC64" s="55"/>
      <c r="AD64" s="1"/>
      <c r="AE64" s="1"/>
      <c r="AF64" s="55"/>
      <c r="AG64" s="1"/>
      <c r="AH64" s="1"/>
      <c r="AI64" s="1"/>
    </row>
    <row r="65" spans="1:35" ht="22.5" customHeight="1">
      <c r="A65" s="52" t="s">
        <v>204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63"/>
      <c r="N65" s="1">
        <f t="shared" si="0"/>
        <v>0</v>
      </c>
      <c r="O65" s="1"/>
      <c r="P65" s="1">
        <v>252</v>
      </c>
      <c r="Q65" s="55"/>
      <c r="R65" s="55"/>
      <c r="S65" s="55"/>
      <c r="T65" s="55"/>
      <c r="U65" s="55"/>
      <c r="V65" s="55"/>
      <c r="W65" s="55"/>
      <c r="X65" s="55"/>
      <c r="Y65" s="1"/>
      <c r="Z65" s="1"/>
      <c r="AA65" s="55"/>
      <c r="AB65" s="55"/>
      <c r="AC65" s="55"/>
      <c r="AD65" s="1"/>
      <c r="AE65" s="1"/>
      <c r="AF65" s="55"/>
      <c r="AG65" s="1"/>
      <c r="AH65" s="1"/>
      <c r="AI65" s="1"/>
    </row>
    <row r="66" spans="1:35" ht="22.5" customHeight="1">
      <c r="A66" s="52" t="s">
        <v>205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63"/>
      <c r="N66" s="1">
        <f t="shared" si="0"/>
        <v>0</v>
      </c>
      <c r="O66" s="1"/>
      <c r="P66" s="1">
        <v>367</v>
      </c>
      <c r="Q66" s="55"/>
      <c r="R66" s="55"/>
      <c r="S66" s="55"/>
      <c r="T66" s="55"/>
      <c r="U66" s="55"/>
      <c r="V66" s="55"/>
      <c r="W66" s="55"/>
      <c r="X66" s="55"/>
      <c r="Y66" s="1"/>
      <c r="Z66" s="1"/>
      <c r="AA66" s="55"/>
      <c r="AB66" s="55"/>
      <c r="AC66" s="55"/>
      <c r="AD66" s="1"/>
      <c r="AE66" s="1"/>
      <c r="AF66" s="55"/>
      <c r="AG66" s="1"/>
      <c r="AH66" s="1"/>
      <c r="AI66" s="1"/>
    </row>
    <row r="67" spans="1:35" ht="22.5" customHeight="1">
      <c r="A67" s="52" t="s">
        <v>206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63"/>
      <c r="N67" s="1">
        <f t="shared" si="0"/>
        <v>0</v>
      </c>
      <c r="O67" s="1"/>
      <c r="P67" s="1">
        <v>29</v>
      </c>
      <c r="Q67" s="55"/>
      <c r="R67" s="55"/>
      <c r="S67" s="55"/>
      <c r="T67" s="55"/>
      <c r="U67" s="55"/>
      <c r="V67" s="55"/>
      <c r="W67" s="55"/>
      <c r="X67" s="55"/>
      <c r="Y67" s="1"/>
      <c r="Z67" s="1"/>
      <c r="AA67" s="55"/>
      <c r="AB67" s="55"/>
      <c r="AC67" s="55"/>
      <c r="AD67" s="1"/>
      <c r="AE67" s="1"/>
      <c r="AF67" s="55"/>
      <c r="AG67" s="1"/>
      <c r="AH67" s="1"/>
      <c r="AI67" s="1"/>
    </row>
    <row r="68" spans="1:35" ht="22.5" customHeight="1">
      <c r="A68" s="52" t="s">
        <v>207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63"/>
      <c r="N68" s="1">
        <f t="shared" si="0"/>
        <v>0</v>
      </c>
      <c r="O68" s="1"/>
      <c r="P68" s="1">
        <v>584</v>
      </c>
      <c r="Q68" s="55"/>
      <c r="R68" s="55"/>
      <c r="S68" s="55"/>
      <c r="T68" s="55"/>
      <c r="U68" s="55"/>
      <c r="V68" s="55"/>
      <c r="W68" s="55"/>
      <c r="X68" s="55"/>
      <c r="Y68" s="1"/>
      <c r="Z68" s="1"/>
      <c r="AA68" s="55"/>
      <c r="AB68" s="55"/>
      <c r="AC68" s="55"/>
      <c r="AD68" s="1"/>
      <c r="AE68" s="1"/>
      <c r="AF68" s="55"/>
      <c r="AG68" s="1"/>
      <c r="AH68" s="1"/>
      <c r="AI68" s="1"/>
    </row>
    <row r="69" spans="1:35" ht="22.5" customHeight="1">
      <c r="A69" s="52" t="s">
        <v>208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63"/>
      <c r="N69" s="1">
        <f t="shared" si="0"/>
        <v>0</v>
      </c>
      <c r="O69" s="1"/>
      <c r="P69" s="1">
        <v>764</v>
      </c>
      <c r="Q69" s="55"/>
      <c r="R69" s="55"/>
      <c r="S69" s="55"/>
      <c r="T69" s="55"/>
      <c r="U69" s="55"/>
      <c r="V69" s="55"/>
      <c r="W69" s="55"/>
      <c r="X69" s="55"/>
      <c r="Y69" s="1"/>
      <c r="Z69" s="1"/>
      <c r="AA69" s="55"/>
      <c r="AB69" s="55"/>
      <c r="AC69" s="55"/>
      <c r="AD69" s="1"/>
      <c r="AE69" s="1"/>
      <c r="AF69" s="55"/>
      <c r="AG69" s="1"/>
      <c r="AH69" s="1"/>
      <c r="AI69" s="1"/>
    </row>
    <row r="70" spans="1:35" ht="22.5" customHeight="1">
      <c r="A70" s="52" t="s">
        <v>209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63"/>
      <c r="N70" s="1">
        <f t="shared" si="0"/>
        <v>0</v>
      </c>
      <c r="O70" s="1"/>
      <c r="P70" s="1">
        <v>108</v>
      </c>
      <c r="Q70" s="55"/>
      <c r="R70" s="55"/>
      <c r="S70" s="55"/>
      <c r="T70" s="55"/>
      <c r="U70" s="55"/>
      <c r="V70" s="55"/>
      <c r="W70" s="55"/>
      <c r="X70" s="55"/>
      <c r="Y70" s="1"/>
      <c r="Z70" s="1"/>
      <c r="AA70" s="55"/>
      <c r="AB70" s="55"/>
      <c r="AC70" s="55"/>
      <c r="AD70" s="1"/>
      <c r="AE70" s="1"/>
      <c r="AF70" s="55"/>
      <c r="AG70" s="1"/>
      <c r="AH70" s="1"/>
      <c r="AI70" s="1"/>
    </row>
    <row r="71" spans="1:35" ht="22.5" customHeight="1">
      <c r="A71" s="52" t="s">
        <v>210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3"/>
      <c r="N71" s="1">
        <f t="shared" si="0"/>
        <v>0</v>
      </c>
      <c r="O71" s="1"/>
      <c r="P71" s="1">
        <v>316</v>
      </c>
      <c r="Q71" s="55"/>
      <c r="R71" s="55"/>
      <c r="S71" s="55"/>
      <c r="T71" s="55"/>
      <c r="U71" s="55"/>
      <c r="V71" s="55"/>
      <c r="W71" s="55"/>
      <c r="X71" s="55"/>
      <c r="Y71" s="1"/>
      <c r="Z71" s="1"/>
      <c r="AA71" s="55"/>
      <c r="AB71" s="55"/>
      <c r="AC71" s="55"/>
      <c r="AD71" s="1"/>
      <c r="AE71" s="1"/>
      <c r="AF71" s="55"/>
      <c r="AG71" s="1"/>
      <c r="AH71" s="1"/>
      <c r="AI71" s="1"/>
    </row>
    <row r="72" spans="1:35" ht="22.5" customHeight="1">
      <c r="A72" s="52" t="s">
        <v>211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3"/>
      <c r="N72" s="1">
        <f t="shared" si="0"/>
        <v>0</v>
      </c>
      <c r="O72" s="1"/>
      <c r="P72" s="1">
        <v>771</v>
      </c>
      <c r="Q72" s="55"/>
      <c r="R72" s="55"/>
      <c r="S72" s="55"/>
      <c r="T72" s="55"/>
      <c r="U72" s="55"/>
      <c r="V72" s="55"/>
      <c r="W72" s="55"/>
      <c r="X72" s="55"/>
      <c r="Y72" s="1"/>
      <c r="Z72" s="1"/>
      <c r="AA72" s="55"/>
      <c r="AB72" s="55"/>
      <c r="AC72" s="55"/>
      <c r="AD72" s="1"/>
      <c r="AE72" s="1"/>
      <c r="AF72" s="55"/>
      <c r="AG72" s="1"/>
      <c r="AH72" s="1"/>
      <c r="AI72" s="1"/>
    </row>
    <row r="73" spans="1:35" ht="22.5" customHeight="1">
      <c r="A73" s="52" t="s">
        <v>212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3"/>
      <c r="N73" s="1">
        <f t="shared" si="0"/>
        <v>0</v>
      </c>
      <c r="O73" s="1"/>
      <c r="P73" s="1">
        <v>408</v>
      </c>
      <c r="Q73" s="55"/>
      <c r="R73" s="55"/>
      <c r="S73" s="55"/>
      <c r="T73" s="55"/>
      <c r="U73" s="55"/>
      <c r="V73" s="55"/>
      <c r="W73" s="55"/>
      <c r="X73" s="55"/>
      <c r="Y73" s="1"/>
      <c r="Z73" s="1"/>
      <c r="AA73" s="55"/>
      <c r="AB73" s="55"/>
      <c r="AC73" s="55"/>
      <c r="AD73" s="1"/>
      <c r="AE73" s="1"/>
      <c r="AF73" s="55"/>
      <c r="AG73" s="1"/>
      <c r="AH73" s="1"/>
      <c r="AI73" s="1"/>
    </row>
    <row r="74" spans="1:35" ht="22.5" customHeight="1">
      <c r="A74" s="52" t="s">
        <v>213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3"/>
      <c r="N74" s="1">
        <f t="shared" si="0"/>
        <v>0</v>
      </c>
      <c r="O74" s="1"/>
      <c r="P74" s="1">
        <v>292</v>
      </c>
      <c r="Q74" s="55"/>
      <c r="R74" s="55"/>
      <c r="S74" s="55"/>
      <c r="T74" s="55"/>
      <c r="U74" s="55"/>
      <c r="V74" s="55"/>
      <c r="W74" s="55"/>
      <c r="X74" s="55"/>
      <c r="Y74" s="1"/>
      <c r="Z74" s="1"/>
      <c r="AA74" s="55"/>
      <c r="AB74" s="55"/>
      <c r="AC74" s="55"/>
      <c r="AD74" s="1"/>
      <c r="AE74" s="1"/>
      <c r="AF74" s="55"/>
      <c r="AG74" s="1"/>
      <c r="AH74" s="1"/>
      <c r="AI74" s="1"/>
    </row>
    <row r="75" spans="1:35" ht="22.5" customHeight="1">
      <c r="A75" s="52" t="s">
        <v>214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3"/>
      <c r="N75" s="1">
        <f t="shared" si="0"/>
        <v>0</v>
      </c>
      <c r="O75" s="1"/>
      <c r="P75" s="1">
        <v>213</v>
      </c>
      <c r="Q75" s="55"/>
      <c r="R75" s="55"/>
      <c r="S75" s="55"/>
      <c r="T75" s="55"/>
      <c r="U75" s="55"/>
      <c r="V75" s="55"/>
      <c r="W75" s="55"/>
      <c r="X75" s="55"/>
      <c r="Y75" s="1"/>
      <c r="Z75" s="1"/>
      <c r="AA75" s="55"/>
      <c r="AB75" s="55"/>
      <c r="AC75" s="55"/>
      <c r="AD75" s="1"/>
      <c r="AE75" s="1"/>
      <c r="AF75" s="55"/>
      <c r="AG75" s="1"/>
      <c r="AH75" s="1"/>
      <c r="AI75" s="1"/>
    </row>
    <row r="76" spans="1:35" ht="22.5" customHeight="1">
      <c r="A76" s="52" t="s">
        <v>215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3"/>
      <c r="N76" s="1">
        <f t="shared" si="0"/>
        <v>0</v>
      </c>
      <c r="O76" s="1"/>
      <c r="P76" s="1">
        <v>284</v>
      </c>
      <c r="Q76" s="55"/>
      <c r="R76" s="55"/>
      <c r="S76" s="55"/>
      <c r="T76" s="55"/>
      <c r="U76" s="55"/>
      <c r="V76" s="55"/>
      <c r="W76" s="55"/>
      <c r="X76" s="55"/>
      <c r="Y76" s="1"/>
      <c r="Z76" s="1"/>
      <c r="AA76" s="55"/>
      <c r="AB76" s="55"/>
      <c r="AC76" s="55"/>
      <c r="AD76" s="1"/>
      <c r="AE76" s="1"/>
      <c r="AF76" s="55"/>
      <c r="AG76" s="1"/>
      <c r="AH76" s="1"/>
      <c r="AI76" s="1"/>
    </row>
    <row r="77" spans="1:35" ht="22.5" customHeight="1">
      <c r="A77" s="52" t="s">
        <v>216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3"/>
      <c r="N77" s="1">
        <f t="shared" si="0"/>
        <v>0</v>
      </c>
      <c r="O77" s="1"/>
      <c r="P77" s="1">
        <v>404</v>
      </c>
      <c r="Q77" s="55"/>
      <c r="R77" s="55"/>
      <c r="S77" s="55"/>
      <c r="T77" s="55"/>
      <c r="U77" s="55"/>
      <c r="V77" s="55"/>
      <c r="W77" s="55"/>
      <c r="X77" s="55"/>
      <c r="Y77" s="1"/>
      <c r="Z77" s="1"/>
      <c r="AA77" s="55"/>
      <c r="AB77" s="55"/>
      <c r="AC77" s="55"/>
      <c r="AD77" s="1"/>
      <c r="AE77" s="1"/>
      <c r="AF77" s="55"/>
      <c r="AG77" s="1"/>
      <c r="AH77" s="1"/>
      <c r="AI77" s="1"/>
    </row>
    <row r="78" spans="1:35" ht="22.5" customHeight="1">
      <c r="A78" s="52" t="s">
        <v>217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3"/>
      <c r="N78" s="1">
        <f t="shared" si="0"/>
        <v>0</v>
      </c>
      <c r="O78" s="1"/>
      <c r="P78" s="1">
        <v>213</v>
      </c>
      <c r="Q78" s="55"/>
      <c r="R78" s="55"/>
      <c r="S78" s="55"/>
      <c r="T78" s="55"/>
      <c r="U78" s="55"/>
      <c r="V78" s="55"/>
      <c r="W78" s="55"/>
      <c r="X78" s="55"/>
      <c r="Y78" s="1"/>
      <c r="Z78" s="1"/>
      <c r="AA78" s="55"/>
      <c r="AB78" s="55"/>
      <c r="AC78" s="55"/>
      <c r="AD78" s="1"/>
      <c r="AE78" s="1"/>
      <c r="AF78" s="55"/>
      <c r="AG78" s="1"/>
      <c r="AH78" s="1"/>
      <c r="AI78" s="1"/>
    </row>
    <row r="79" spans="1:35" ht="22.5" customHeight="1">
      <c r="A79" s="52" t="s">
        <v>218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3"/>
      <c r="N79" s="1">
        <f t="shared" si="0"/>
        <v>0</v>
      </c>
      <c r="O79" s="1"/>
      <c r="P79" s="1">
        <v>464</v>
      </c>
      <c r="Q79" s="55"/>
      <c r="R79" s="55"/>
      <c r="S79" s="55"/>
      <c r="T79" s="55"/>
      <c r="U79" s="55"/>
      <c r="V79" s="55"/>
      <c r="W79" s="55"/>
      <c r="X79" s="55"/>
      <c r="Y79" s="1"/>
      <c r="Z79" s="1"/>
      <c r="AA79" s="55"/>
      <c r="AB79" s="55"/>
      <c r="AC79" s="55"/>
      <c r="AD79" s="1"/>
      <c r="AE79" s="1"/>
      <c r="AF79" s="55"/>
      <c r="AG79" s="1"/>
      <c r="AH79" s="1"/>
      <c r="AI79" s="1"/>
    </row>
    <row r="80" spans="1:35" ht="22.5" customHeight="1">
      <c r="A80" s="52" t="s">
        <v>219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3"/>
      <c r="N80" s="1">
        <f t="shared" si="0"/>
        <v>0</v>
      </c>
      <c r="O80" s="1"/>
      <c r="P80" s="1">
        <v>480</v>
      </c>
      <c r="Q80" s="55"/>
      <c r="R80" s="55"/>
      <c r="S80" s="55"/>
      <c r="T80" s="55"/>
      <c r="U80" s="55"/>
      <c r="V80" s="55"/>
      <c r="W80" s="55"/>
      <c r="X80" s="55"/>
      <c r="Y80" s="1"/>
      <c r="Z80" s="1"/>
      <c r="AA80" s="55"/>
      <c r="AB80" s="55"/>
      <c r="AC80" s="55"/>
      <c r="AD80" s="1"/>
      <c r="AE80" s="1"/>
      <c r="AF80" s="55"/>
      <c r="AG80" s="1"/>
      <c r="AH80" s="1"/>
      <c r="AI80" s="1"/>
    </row>
    <row r="81" spans="1:35" ht="22.5" customHeight="1">
      <c r="A81" s="52" t="s">
        <v>220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3"/>
      <c r="N81" s="1">
        <f t="shared" si="0"/>
        <v>0</v>
      </c>
      <c r="O81" s="1"/>
      <c r="P81" s="1">
        <v>155</v>
      </c>
      <c r="Q81" s="55"/>
      <c r="R81" s="55"/>
      <c r="S81" s="55"/>
      <c r="T81" s="55"/>
      <c r="U81" s="55"/>
      <c r="V81" s="55"/>
      <c r="W81" s="55"/>
      <c r="X81" s="55"/>
      <c r="Y81" s="1"/>
      <c r="Z81" s="1"/>
      <c r="AA81" s="55"/>
      <c r="AB81" s="55"/>
      <c r="AC81" s="55"/>
      <c r="AD81" s="1"/>
      <c r="AE81" s="1"/>
      <c r="AF81" s="55"/>
      <c r="AG81" s="1"/>
      <c r="AH81" s="1"/>
      <c r="AI81" s="1"/>
    </row>
    <row r="82" spans="1:35" ht="22.5" customHeight="1">
      <c r="A82" s="52" t="s">
        <v>221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3"/>
      <c r="N82" s="1">
        <f t="shared" si="0"/>
        <v>0</v>
      </c>
      <c r="O82" s="1"/>
      <c r="P82" s="1">
        <v>921</v>
      </c>
      <c r="Q82" s="55"/>
      <c r="R82" s="55"/>
      <c r="S82" s="55"/>
      <c r="T82" s="55"/>
      <c r="U82" s="55"/>
      <c r="V82" s="55"/>
      <c r="W82" s="55"/>
      <c r="X82" s="55"/>
      <c r="Y82" s="1"/>
      <c r="Z82" s="1"/>
      <c r="AA82" s="55"/>
      <c r="AB82" s="55"/>
      <c r="AC82" s="55"/>
      <c r="AD82" s="1"/>
      <c r="AE82" s="1"/>
      <c r="AF82" s="55"/>
      <c r="AG82" s="1"/>
      <c r="AH82" s="1"/>
      <c r="AI82" s="1"/>
    </row>
    <row r="83" spans="1:35" ht="22.5" customHeight="1">
      <c r="A83" s="52" t="s">
        <v>222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3"/>
      <c r="N83" s="1">
        <f t="shared" si="0"/>
        <v>0</v>
      </c>
      <c r="O83" s="1"/>
      <c r="P83" s="1">
        <v>302</v>
      </c>
      <c r="Q83" s="55"/>
      <c r="R83" s="55"/>
      <c r="S83" s="55"/>
      <c r="T83" s="55"/>
      <c r="U83" s="55"/>
      <c r="V83" s="55"/>
      <c r="W83" s="55"/>
      <c r="X83" s="55"/>
      <c r="Y83" s="1"/>
      <c r="Z83" s="1"/>
      <c r="AA83" s="55"/>
      <c r="AB83" s="55"/>
      <c r="AC83" s="55"/>
      <c r="AD83" s="1"/>
      <c r="AE83" s="1"/>
      <c r="AF83" s="55"/>
      <c r="AG83" s="1"/>
      <c r="AH83" s="1"/>
      <c r="AI83" s="1"/>
    </row>
    <row r="84" spans="1:35" ht="22.5" customHeight="1">
      <c r="A84" s="52" t="s">
        <v>223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3"/>
      <c r="N84" s="1">
        <f t="shared" si="0"/>
        <v>0</v>
      </c>
      <c r="O84" s="1"/>
      <c r="P84" s="1">
        <v>492</v>
      </c>
      <c r="Q84" s="55"/>
      <c r="R84" s="55"/>
      <c r="S84" s="55"/>
      <c r="T84" s="55"/>
      <c r="U84" s="55"/>
      <c r="V84" s="55"/>
      <c r="W84" s="55"/>
      <c r="X84" s="55"/>
      <c r="Y84" s="1"/>
      <c r="Z84" s="1"/>
      <c r="AA84" s="55"/>
      <c r="AB84" s="55"/>
      <c r="AC84" s="55"/>
      <c r="AD84" s="1"/>
      <c r="AE84" s="1"/>
      <c r="AF84" s="55"/>
      <c r="AG84" s="1"/>
      <c r="AH84" s="1"/>
      <c r="AI84" s="1"/>
    </row>
    <row r="85" spans="1:35" ht="22.5" customHeight="1">
      <c r="A85" s="52" t="s">
        <v>224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3"/>
      <c r="N85" s="1">
        <f t="shared" si="0"/>
        <v>0</v>
      </c>
      <c r="O85" s="1"/>
      <c r="P85" s="1">
        <v>1000</v>
      </c>
      <c r="Q85" s="55"/>
      <c r="R85" s="55"/>
      <c r="S85" s="55"/>
      <c r="T85" s="55"/>
      <c r="U85" s="55"/>
      <c r="V85" s="55"/>
      <c r="W85" s="55"/>
      <c r="X85" s="55"/>
      <c r="Y85" s="1"/>
      <c r="Z85" s="1"/>
      <c r="AA85" s="55"/>
      <c r="AB85" s="55"/>
      <c r="AC85" s="55"/>
      <c r="AD85" s="1"/>
      <c r="AE85" s="1"/>
      <c r="AF85" s="55"/>
      <c r="AG85" s="1"/>
      <c r="AH85" s="1"/>
      <c r="AI85" s="1"/>
    </row>
    <row r="86" spans="1:35" ht="22.5" customHeight="1">
      <c r="A86" s="52" t="s">
        <v>225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3"/>
      <c r="N86" s="1">
        <f t="shared" si="0"/>
        <v>0</v>
      </c>
      <c r="O86" s="1"/>
      <c r="P86" s="1">
        <v>240</v>
      </c>
      <c r="Q86" s="55"/>
      <c r="R86" s="55"/>
      <c r="S86" s="55"/>
      <c r="T86" s="55"/>
      <c r="U86" s="55"/>
      <c r="V86" s="55"/>
      <c r="W86" s="55"/>
      <c r="X86" s="55"/>
      <c r="Y86" s="1"/>
      <c r="Z86" s="1"/>
      <c r="AA86" s="55"/>
      <c r="AB86" s="55"/>
      <c r="AC86" s="55"/>
      <c r="AD86" s="1"/>
      <c r="AE86" s="1"/>
      <c r="AF86" s="55"/>
      <c r="AG86" s="1"/>
      <c r="AH86" s="1"/>
      <c r="AI86" s="1"/>
    </row>
    <row r="87" spans="1:35" ht="22.5" customHeight="1">
      <c r="A87" s="52" t="s">
        <v>226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3"/>
      <c r="N87" s="1">
        <f t="shared" si="0"/>
        <v>0</v>
      </c>
      <c r="O87" s="1"/>
      <c r="P87" s="1">
        <v>232</v>
      </c>
      <c r="Q87" s="55"/>
      <c r="R87" s="55"/>
      <c r="S87" s="55"/>
      <c r="T87" s="55"/>
      <c r="U87" s="55"/>
      <c r="V87" s="55"/>
      <c r="W87" s="55"/>
      <c r="X87" s="55"/>
      <c r="Y87" s="1"/>
      <c r="Z87" s="1"/>
      <c r="AA87" s="55"/>
      <c r="AB87" s="55"/>
      <c r="AC87" s="55"/>
      <c r="AD87" s="1"/>
      <c r="AE87" s="1"/>
      <c r="AF87" s="55"/>
      <c r="AG87" s="1"/>
      <c r="AH87" s="1"/>
      <c r="AI87" s="1"/>
    </row>
    <row r="88" spans="1:35" ht="22.5" customHeight="1">
      <c r="A88" s="52" t="s">
        <v>227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3"/>
      <c r="N88" s="1">
        <f t="shared" si="0"/>
        <v>0</v>
      </c>
      <c r="O88" s="1"/>
      <c r="P88" s="1">
        <v>344</v>
      </c>
      <c r="Q88" s="55"/>
      <c r="R88" s="55"/>
      <c r="S88" s="55"/>
      <c r="T88" s="55"/>
      <c r="U88" s="55"/>
      <c r="V88" s="55"/>
      <c r="W88" s="55"/>
      <c r="X88" s="55"/>
      <c r="Y88" s="1"/>
      <c r="Z88" s="1"/>
      <c r="AA88" s="55"/>
      <c r="AB88" s="55"/>
      <c r="AC88" s="55"/>
      <c r="AD88" s="1"/>
      <c r="AE88" s="1"/>
      <c r="AF88" s="55"/>
      <c r="AG88" s="1"/>
      <c r="AH88" s="1"/>
      <c r="AI88" s="1"/>
    </row>
    <row r="89" spans="1:35" ht="22.5" customHeight="1">
      <c r="A89" s="52" t="s">
        <v>228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3"/>
      <c r="N89" s="1">
        <f t="shared" si="0"/>
        <v>0</v>
      </c>
      <c r="O89" s="1"/>
      <c r="P89" s="1">
        <v>238</v>
      </c>
      <c r="Q89" s="55"/>
      <c r="R89" s="55"/>
      <c r="S89" s="55"/>
      <c r="T89" s="55"/>
      <c r="U89" s="55"/>
      <c r="V89" s="55"/>
      <c r="W89" s="55"/>
      <c r="X89" s="55"/>
      <c r="Y89" s="1"/>
      <c r="Z89" s="1"/>
      <c r="AA89" s="55"/>
      <c r="AB89" s="55"/>
      <c r="AC89" s="55"/>
      <c r="AD89" s="1"/>
      <c r="AE89" s="1"/>
      <c r="AF89" s="55"/>
      <c r="AG89" s="1"/>
      <c r="AH89" s="1"/>
      <c r="AI89" s="1"/>
    </row>
    <row r="90" spans="1:35" ht="22.5" customHeight="1">
      <c r="A90" s="52" t="s">
        <v>229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3"/>
      <c r="N90" s="1">
        <f t="shared" si="0"/>
        <v>0</v>
      </c>
      <c r="O90" s="1"/>
      <c r="P90" s="1">
        <v>308</v>
      </c>
      <c r="Q90" s="55"/>
      <c r="R90" s="55"/>
      <c r="S90" s="55"/>
      <c r="T90" s="55"/>
      <c r="U90" s="55"/>
      <c r="V90" s="55"/>
      <c r="W90" s="55"/>
      <c r="X90" s="55"/>
      <c r="Y90" s="1"/>
      <c r="Z90" s="1"/>
      <c r="AA90" s="55"/>
      <c r="AB90" s="55"/>
      <c r="AC90" s="55"/>
      <c r="AD90" s="1"/>
      <c r="AE90" s="1"/>
      <c r="AF90" s="55"/>
      <c r="AG90" s="1"/>
      <c r="AH90" s="1"/>
      <c r="AI90" s="1"/>
    </row>
    <row r="91" spans="1:35" ht="22.5" customHeight="1">
      <c r="A91" s="52" t="s">
        <v>230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3"/>
      <c r="N91" s="1">
        <f t="shared" si="0"/>
        <v>0</v>
      </c>
      <c r="O91" s="1"/>
      <c r="P91" s="1">
        <v>448</v>
      </c>
      <c r="Q91" s="55"/>
      <c r="R91" s="55"/>
      <c r="S91" s="55"/>
      <c r="T91" s="55"/>
      <c r="U91" s="55"/>
      <c r="V91" s="55"/>
      <c r="W91" s="55"/>
      <c r="X91" s="55"/>
      <c r="Y91" s="1"/>
      <c r="Z91" s="1"/>
      <c r="AA91" s="55"/>
      <c r="AB91" s="55"/>
      <c r="AC91" s="55"/>
      <c r="AD91" s="1"/>
      <c r="AE91" s="1"/>
      <c r="AF91" s="55"/>
      <c r="AG91" s="1"/>
      <c r="AH91" s="1"/>
      <c r="AI91" s="1"/>
    </row>
    <row r="92" spans="1:35" ht="22.5" customHeight="1">
      <c r="A92" s="52" t="s">
        <v>231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3"/>
      <c r="N92" s="1">
        <f t="shared" si="0"/>
        <v>0</v>
      </c>
      <c r="O92" s="1"/>
      <c r="P92" s="1">
        <v>604</v>
      </c>
      <c r="Q92" s="55"/>
      <c r="R92" s="55"/>
      <c r="S92" s="55"/>
      <c r="T92" s="55"/>
      <c r="U92" s="55"/>
      <c r="V92" s="55"/>
      <c r="W92" s="55"/>
      <c r="X92" s="55"/>
      <c r="Y92" s="1"/>
      <c r="Z92" s="1"/>
      <c r="AA92" s="55"/>
      <c r="AB92" s="55"/>
      <c r="AC92" s="55"/>
      <c r="AD92" s="1"/>
      <c r="AE92" s="1"/>
      <c r="AF92" s="55"/>
      <c r="AG92" s="1"/>
      <c r="AH92" s="1"/>
      <c r="AI92" s="1"/>
    </row>
    <row r="93" spans="1:35" ht="22.5" customHeight="1">
      <c r="A93" s="52" t="s">
        <v>232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3"/>
      <c r="N93" s="1">
        <f t="shared" si="0"/>
        <v>0</v>
      </c>
      <c r="O93" s="1"/>
      <c r="P93" s="1">
        <v>620</v>
      </c>
      <c r="Q93" s="55"/>
      <c r="R93" s="55"/>
      <c r="S93" s="55"/>
      <c r="T93" s="55"/>
      <c r="U93" s="55"/>
      <c r="V93" s="55"/>
      <c r="W93" s="55"/>
      <c r="X93" s="55"/>
      <c r="Y93" s="1"/>
      <c r="Z93" s="1"/>
      <c r="AA93" s="55"/>
      <c r="AB93" s="55"/>
      <c r="AC93" s="55"/>
      <c r="AD93" s="1"/>
      <c r="AE93" s="1"/>
      <c r="AF93" s="55"/>
      <c r="AG93" s="1"/>
      <c r="AH93" s="1"/>
      <c r="AI93" s="1"/>
    </row>
    <row r="94" spans="1:35" ht="22.5" customHeight="1">
      <c r="A94" s="52" t="s">
        <v>233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3"/>
      <c r="N94" s="1">
        <f t="shared" si="0"/>
        <v>0</v>
      </c>
      <c r="O94" s="1"/>
      <c r="P94" s="1">
        <v>560</v>
      </c>
      <c r="Q94" s="55"/>
      <c r="R94" s="55"/>
      <c r="S94" s="55"/>
      <c r="T94" s="55"/>
      <c r="U94" s="55"/>
      <c r="V94" s="55"/>
      <c r="W94" s="55"/>
      <c r="X94" s="55"/>
      <c r="Y94" s="1"/>
      <c r="Z94" s="1"/>
      <c r="AA94" s="55"/>
      <c r="AB94" s="55"/>
      <c r="AC94" s="55"/>
      <c r="AD94" s="1"/>
      <c r="AE94" s="1"/>
      <c r="AF94" s="55"/>
      <c r="AG94" s="1"/>
      <c r="AH94" s="1"/>
      <c r="AI94" s="1"/>
    </row>
    <row r="95" spans="1:35" ht="22.5" customHeight="1">
      <c r="A95" s="52" t="s">
        <v>234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3"/>
      <c r="N95" s="1">
        <f t="shared" si="0"/>
        <v>0</v>
      </c>
      <c r="O95" s="1"/>
      <c r="P95" s="1">
        <v>444</v>
      </c>
      <c r="Q95" s="55"/>
      <c r="R95" s="55"/>
      <c r="S95" s="55"/>
      <c r="T95" s="55"/>
      <c r="U95" s="55"/>
      <c r="V95" s="55"/>
      <c r="W95" s="55"/>
      <c r="X95" s="55"/>
      <c r="Y95" s="1"/>
      <c r="Z95" s="1"/>
      <c r="AA95" s="55"/>
      <c r="AB95" s="55"/>
      <c r="AC95" s="55"/>
      <c r="AD95" s="1"/>
      <c r="AE95" s="1"/>
      <c r="AF95" s="55"/>
      <c r="AG95" s="1"/>
      <c r="AH95" s="1"/>
      <c r="AI95" s="1"/>
    </row>
    <row r="96" spans="1:35" ht="22.5" customHeight="1">
      <c r="A96" s="52" t="s">
        <v>235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3"/>
      <c r="N96" s="1">
        <f t="shared" si="0"/>
        <v>0</v>
      </c>
      <c r="O96" s="1"/>
      <c r="P96" s="1">
        <v>928</v>
      </c>
      <c r="Q96" s="55"/>
      <c r="R96" s="55"/>
      <c r="S96" s="55"/>
      <c r="T96" s="55"/>
      <c r="U96" s="55"/>
      <c r="V96" s="55"/>
      <c r="W96" s="55"/>
      <c r="X96" s="55"/>
      <c r="Y96" s="1"/>
      <c r="Z96" s="1"/>
      <c r="AA96" s="55"/>
      <c r="AB96" s="55"/>
      <c r="AC96" s="55"/>
      <c r="AD96" s="1"/>
      <c r="AE96" s="1"/>
      <c r="AF96" s="55"/>
      <c r="AG96" s="1"/>
      <c r="AH96" s="1"/>
      <c r="AI96" s="1"/>
    </row>
    <row r="97" spans="1:35" ht="22.5" customHeight="1">
      <c r="A97" s="52" t="s">
        <v>236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3"/>
      <c r="N97" s="1">
        <f t="shared" si="0"/>
        <v>0</v>
      </c>
      <c r="O97" s="1"/>
      <c r="P97" s="1">
        <v>772</v>
      </c>
      <c r="Q97" s="55"/>
      <c r="R97" s="55"/>
      <c r="S97" s="55"/>
      <c r="T97" s="55"/>
      <c r="U97" s="55"/>
      <c r="V97" s="55"/>
      <c r="W97" s="55"/>
      <c r="X97" s="55"/>
      <c r="Y97" s="1"/>
      <c r="Z97" s="1"/>
      <c r="AA97" s="55"/>
      <c r="AB97" s="55"/>
      <c r="AC97" s="55"/>
      <c r="AD97" s="1"/>
      <c r="AE97" s="1"/>
      <c r="AF97" s="55"/>
      <c r="AG97" s="1"/>
      <c r="AH97" s="1"/>
      <c r="AI97" s="1"/>
    </row>
    <row r="98" spans="1:35" ht="22.5" customHeight="1">
      <c r="A98" s="52" t="s">
        <v>237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3"/>
      <c r="N98" s="1">
        <f t="shared" si="0"/>
        <v>0</v>
      </c>
      <c r="O98" s="1"/>
      <c r="P98" s="1">
        <v>428</v>
      </c>
      <c r="Q98" s="55"/>
      <c r="R98" s="55"/>
      <c r="S98" s="55"/>
      <c r="T98" s="55"/>
      <c r="U98" s="55"/>
      <c r="V98" s="55"/>
      <c r="W98" s="55"/>
      <c r="X98" s="55"/>
      <c r="Y98" s="1"/>
      <c r="Z98" s="1"/>
      <c r="AA98" s="55"/>
      <c r="AB98" s="55"/>
      <c r="AC98" s="55"/>
      <c r="AD98" s="1"/>
      <c r="AE98" s="1"/>
      <c r="AF98" s="55"/>
      <c r="AG98" s="1"/>
      <c r="AH98" s="1"/>
      <c r="AI98" s="1"/>
    </row>
    <row r="99" spans="1:35" ht="22.5" customHeight="1">
      <c r="A99" s="52" t="s">
        <v>238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3"/>
      <c r="N99" s="1">
        <f t="shared" si="0"/>
        <v>0</v>
      </c>
      <c r="O99" s="1"/>
      <c r="P99" s="1">
        <v>540</v>
      </c>
      <c r="Q99" s="55"/>
      <c r="R99" s="55"/>
      <c r="S99" s="55"/>
      <c r="T99" s="55"/>
      <c r="U99" s="55"/>
      <c r="V99" s="55"/>
      <c r="W99" s="55"/>
      <c r="X99" s="55"/>
      <c r="Y99" s="1"/>
      <c r="Z99" s="1"/>
      <c r="AA99" s="55"/>
      <c r="AB99" s="55"/>
      <c r="AC99" s="55"/>
      <c r="AD99" s="1"/>
      <c r="AE99" s="1"/>
      <c r="AF99" s="55"/>
      <c r="AG99" s="1"/>
      <c r="AH99" s="1"/>
      <c r="AI99" s="1"/>
    </row>
    <row r="100" spans="1:35" ht="22.5" customHeight="1">
      <c r="A100" s="52" t="s">
        <v>239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3"/>
      <c r="N100" s="1">
        <f t="shared" si="0"/>
        <v>0</v>
      </c>
      <c r="O100" s="1"/>
      <c r="P100" s="1">
        <v>372</v>
      </c>
      <c r="Q100" s="55"/>
      <c r="R100" s="55"/>
      <c r="S100" s="55"/>
      <c r="T100" s="55"/>
      <c r="U100" s="55"/>
      <c r="V100" s="55"/>
      <c r="W100" s="55"/>
      <c r="X100" s="55"/>
      <c r="Y100" s="1"/>
      <c r="Z100" s="1"/>
      <c r="AA100" s="55"/>
      <c r="AB100" s="55"/>
      <c r="AC100" s="55"/>
      <c r="AD100" s="1"/>
      <c r="AE100" s="1"/>
      <c r="AF100" s="55"/>
      <c r="AG100" s="1"/>
      <c r="AH100" s="1"/>
      <c r="AI100" s="1"/>
    </row>
    <row r="101" spans="1:35" ht="22.5" customHeight="1">
      <c r="A101" s="52" t="s">
        <v>240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3"/>
      <c r="N101" s="1">
        <f t="shared" si="0"/>
        <v>0</v>
      </c>
      <c r="O101" s="1"/>
      <c r="P101" s="1">
        <v>248</v>
      </c>
      <c r="Q101" s="55"/>
      <c r="R101" s="55"/>
      <c r="S101" s="55"/>
      <c r="T101" s="55"/>
      <c r="U101" s="55"/>
      <c r="V101" s="55"/>
      <c r="W101" s="55"/>
      <c r="X101" s="55"/>
      <c r="Y101" s="1"/>
      <c r="Z101" s="1"/>
      <c r="AA101" s="55"/>
      <c r="AB101" s="55"/>
      <c r="AC101" s="55"/>
      <c r="AD101" s="1"/>
      <c r="AE101" s="1"/>
      <c r="AF101" s="55"/>
      <c r="AG101" s="1"/>
      <c r="AH101" s="1"/>
      <c r="AI101" s="1"/>
    </row>
    <row r="102" spans="1:35" ht="22.5" customHeight="1">
      <c r="A102" s="52" t="s">
        <v>241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3"/>
      <c r="N102" s="1">
        <f t="shared" si="0"/>
        <v>0</v>
      </c>
      <c r="O102" s="1"/>
      <c r="P102" s="1">
        <v>173</v>
      </c>
      <c r="Q102" s="55"/>
      <c r="R102" s="55"/>
      <c r="S102" s="55"/>
      <c r="T102" s="55"/>
      <c r="U102" s="55"/>
      <c r="V102" s="55"/>
      <c r="W102" s="55"/>
      <c r="X102" s="55"/>
      <c r="Y102" s="1"/>
      <c r="Z102" s="1"/>
      <c r="AA102" s="55"/>
      <c r="AB102" s="55"/>
      <c r="AC102" s="55"/>
      <c r="AD102" s="1"/>
      <c r="AE102" s="1"/>
      <c r="AF102" s="55"/>
      <c r="AG102" s="1"/>
      <c r="AH102" s="1"/>
      <c r="AI102" s="1"/>
    </row>
    <row r="103" spans="1:35" ht="22.5" customHeight="1">
      <c r="A103" s="52" t="s">
        <v>242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3"/>
      <c r="N103" s="1">
        <f t="shared" si="0"/>
        <v>0</v>
      </c>
      <c r="O103" s="1"/>
      <c r="P103" s="1">
        <v>158</v>
      </c>
      <c r="Q103" s="55"/>
      <c r="R103" s="55"/>
      <c r="S103" s="55"/>
      <c r="T103" s="55"/>
      <c r="U103" s="55"/>
      <c r="V103" s="55"/>
      <c r="W103" s="55"/>
      <c r="X103" s="55"/>
      <c r="Y103" s="1"/>
      <c r="Z103" s="1"/>
      <c r="AA103" s="55"/>
      <c r="AB103" s="55"/>
      <c r="AC103" s="55"/>
      <c r="AD103" s="1"/>
      <c r="AE103" s="1"/>
      <c r="AF103" s="55"/>
      <c r="AG103" s="1"/>
      <c r="AH103" s="1"/>
      <c r="AI103" s="1"/>
    </row>
    <row r="104" spans="1:35" ht="22.5" customHeight="1">
      <c r="A104" s="52" t="s">
        <v>243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3"/>
      <c r="N104" s="1">
        <f t="shared" si="0"/>
        <v>0</v>
      </c>
      <c r="O104" s="1"/>
      <c r="P104" s="1">
        <v>662</v>
      </c>
      <c r="Q104" s="55"/>
      <c r="R104" s="55"/>
      <c r="S104" s="55"/>
      <c r="T104" s="55"/>
      <c r="U104" s="55"/>
      <c r="V104" s="55"/>
      <c r="W104" s="55"/>
      <c r="X104" s="55"/>
      <c r="Y104" s="1"/>
      <c r="Z104" s="1"/>
      <c r="AA104" s="55"/>
      <c r="AB104" s="55"/>
      <c r="AC104" s="55"/>
      <c r="AD104" s="1"/>
      <c r="AE104" s="1"/>
      <c r="AF104" s="55"/>
      <c r="AG104" s="1"/>
      <c r="AH104" s="1"/>
      <c r="AI104" s="1"/>
    </row>
    <row r="105" spans="1:35" ht="22.5" customHeight="1">
      <c r="A105" s="52" t="s">
        <v>244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3"/>
      <c r="N105" s="1">
        <f t="shared" si="0"/>
        <v>0</v>
      </c>
      <c r="O105" s="1"/>
      <c r="P105" s="1">
        <v>1088</v>
      </c>
      <c r="Q105" s="55"/>
      <c r="R105" s="55"/>
      <c r="S105" s="55"/>
      <c r="T105" s="55"/>
      <c r="U105" s="55"/>
      <c r="V105" s="55"/>
      <c r="W105" s="55"/>
      <c r="X105" s="55"/>
      <c r="Y105" s="1"/>
      <c r="Z105" s="1"/>
      <c r="AA105" s="55"/>
      <c r="AB105" s="55"/>
      <c r="AC105" s="55"/>
      <c r="AD105" s="1"/>
      <c r="AE105" s="1"/>
      <c r="AF105" s="55"/>
      <c r="AG105" s="1"/>
      <c r="AH105" s="1"/>
      <c r="AI105" s="1"/>
    </row>
    <row r="106" spans="1:35" ht="22.5" customHeight="1">
      <c r="A106" s="52" t="s">
        <v>245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3"/>
      <c r="N106" s="1">
        <f t="shared" si="0"/>
        <v>0</v>
      </c>
      <c r="O106" s="1"/>
      <c r="P106" s="1">
        <v>608</v>
      </c>
      <c r="Q106" s="55"/>
      <c r="R106" s="55"/>
      <c r="S106" s="55"/>
      <c r="T106" s="55"/>
      <c r="U106" s="55"/>
      <c r="V106" s="55"/>
      <c r="W106" s="55"/>
      <c r="X106" s="55"/>
      <c r="Y106" s="1"/>
      <c r="Z106" s="1"/>
      <c r="AA106" s="55"/>
      <c r="AB106" s="55"/>
      <c r="AC106" s="55"/>
      <c r="AD106" s="1"/>
      <c r="AE106" s="1"/>
      <c r="AF106" s="55"/>
      <c r="AG106" s="1"/>
      <c r="AH106" s="1"/>
      <c r="AI106" s="1"/>
    </row>
    <row r="107" spans="1:35" ht="22.5" customHeight="1">
      <c r="A107" s="52" t="s">
        <v>246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63"/>
      <c r="N107" s="1">
        <f t="shared" si="0"/>
        <v>0</v>
      </c>
      <c r="O107" s="1"/>
      <c r="P107" s="1">
        <v>714</v>
      </c>
      <c r="Q107" s="55"/>
      <c r="R107" s="55"/>
      <c r="S107" s="55"/>
      <c r="T107" s="55"/>
      <c r="U107" s="55"/>
      <c r="V107" s="55"/>
      <c r="W107" s="55"/>
      <c r="X107" s="55"/>
      <c r="Y107" s="1"/>
      <c r="Z107" s="1"/>
      <c r="AA107" s="55"/>
      <c r="AB107" s="55"/>
      <c r="AC107" s="55"/>
      <c r="AD107" s="1"/>
      <c r="AE107" s="1"/>
      <c r="AF107" s="55"/>
      <c r="AG107" s="1"/>
      <c r="AH107" s="1"/>
      <c r="AI107" s="1"/>
    </row>
    <row r="108" spans="1:35" ht="22.5" customHeight="1">
      <c r="A108" s="52" t="s">
        <v>247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63"/>
      <c r="N108" s="1">
        <f t="shared" si="0"/>
        <v>0</v>
      </c>
      <c r="O108" s="1"/>
      <c r="P108" s="1">
        <v>816</v>
      </c>
      <c r="Q108" s="55"/>
      <c r="R108" s="55"/>
      <c r="S108" s="55"/>
      <c r="T108" s="55"/>
      <c r="U108" s="55"/>
      <c r="V108" s="55"/>
      <c r="W108" s="55"/>
      <c r="X108" s="55"/>
      <c r="Y108" s="1"/>
      <c r="Z108" s="1"/>
      <c r="AA108" s="55"/>
      <c r="AB108" s="55"/>
      <c r="AC108" s="55"/>
      <c r="AD108" s="1"/>
      <c r="AE108" s="1"/>
      <c r="AF108" s="55"/>
      <c r="AG108" s="1"/>
      <c r="AH108" s="1"/>
      <c r="AI108" s="1"/>
    </row>
    <row r="109" spans="1:35" ht="22.5" customHeight="1">
      <c r="A109" s="52" t="s">
        <v>248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63"/>
      <c r="N109" s="1">
        <f t="shared" si="0"/>
        <v>0</v>
      </c>
      <c r="O109" s="1"/>
      <c r="P109" s="1">
        <v>988</v>
      </c>
      <c r="Q109" s="55"/>
      <c r="R109" s="55"/>
      <c r="S109" s="55"/>
      <c r="T109" s="55"/>
      <c r="U109" s="55"/>
      <c r="V109" s="55"/>
      <c r="W109" s="55"/>
      <c r="X109" s="55"/>
      <c r="Y109" s="1"/>
      <c r="Z109" s="1"/>
      <c r="AA109" s="55"/>
      <c r="AB109" s="55"/>
      <c r="AC109" s="55"/>
      <c r="AD109" s="1"/>
      <c r="AE109" s="1"/>
      <c r="AF109" s="55"/>
      <c r="AG109" s="1"/>
      <c r="AH109" s="1"/>
      <c r="AI109" s="1"/>
    </row>
    <row r="110" spans="1:35" ht="22.5" customHeight="1">
      <c r="A110" s="52" t="s">
        <v>249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63"/>
      <c r="N110" s="1">
        <f t="shared" si="0"/>
        <v>0</v>
      </c>
      <c r="O110" s="1"/>
      <c r="P110" s="1">
        <v>2166</v>
      </c>
      <c r="Q110" s="55"/>
      <c r="R110" s="55"/>
      <c r="S110" s="55"/>
      <c r="T110" s="55"/>
      <c r="U110" s="55"/>
      <c r="V110" s="55"/>
      <c r="W110" s="55"/>
      <c r="X110" s="55"/>
      <c r="Y110" s="1"/>
      <c r="Z110" s="1"/>
      <c r="AA110" s="55"/>
      <c r="AB110" s="55"/>
      <c r="AC110" s="55"/>
      <c r="AD110" s="1"/>
      <c r="AE110" s="1"/>
      <c r="AF110" s="55"/>
      <c r="AG110" s="1"/>
      <c r="AH110" s="1"/>
      <c r="AI110" s="1"/>
    </row>
    <row r="111" spans="1:35" ht="22.5" customHeight="1">
      <c r="A111" s="52" t="s">
        <v>250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63"/>
      <c r="N111" s="1">
        <f t="shared" si="0"/>
        <v>0</v>
      </c>
      <c r="O111" s="1"/>
      <c r="P111" s="1">
        <v>1753</v>
      </c>
      <c r="Q111" s="55"/>
      <c r="R111" s="55"/>
      <c r="S111" s="55"/>
      <c r="T111" s="55"/>
      <c r="U111" s="55"/>
      <c r="V111" s="55"/>
      <c r="W111" s="55"/>
      <c r="X111" s="55"/>
      <c r="Y111" s="1"/>
      <c r="Z111" s="1"/>
      <c r="AA111" s="55"/>
      <c r="AB111" s="55"/>
      <c r="AC111" s="55"/>
      <c r="AD111" s="1"/>
      <c r="AE111" s="1"/>
      <c r="AF111" s="55"/>
      <c r="AG111" s="1"/>
      <c r="AH111" s="1"/>
      <c r="AI111" s="1"/>
    </row>
    <row r="112" spans="1:35" ht="22.5" customHeight="1">
      <c r="A112" s="52" t="s">
        <v>251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63"/>
      <c r="N112" s="1">
        <f t="shared" si="0"/>
        <v>0</v>
      </c>
      <c r="O112" s="1"/>
      <c r="P112" s="1">
        <v>2406</v>
      </c>
      <c r="Q112" s="64" t="s">
        <v>252</v>
      </c>
      <c r="R112" s="64" t="s">
        <v>253</v>
      </c>
      <c r="S112" s="55">
        <v>99</v>
      </c>
      <c r="T112" s="55">
        <v>17</v>
      </c>
      <c r="U112" s="55">
        <v>160</v>
      </c>
      <c r="V112" s="64" t="s">
        <v>254</v>
      </c>
      <c r="W112" s="55">
        <v>124</v>
      </c>
      <c r="X112" s="64" t="s">
        <v>255</v>
      </c>
      <c r="Y112" s="65" t="s">
        <v>256</v>
      </c>
      <c r="Z112" s="65" t="s">
        <v>257</v>
      </c>
      <c r="AA112" s="64" t="s">
        <v>258</v>
      </c>
      <c r="AB112" s="64" t="s">
        <v>259</v>
      </c>
      <c r="AC112" s="64" t="s">
        <v>260</v>
      </c>
      <c r="AD112" s="65" t="s">
        <v>261</v>
      </c>
      <c r="AE112" s="65" t="s">
        <v>262</v>
      </c>
      <c r="AF112" s="64" t="s">
        <v>263</v>
      </c>
      <c r="AG112" s="1"/>
      <c r="AH112" s="1"/>
      <c r="AI112" s="1"/>
    </row>
  </sheetData>
  <mergeCells count="3">
    <mergeCell ref="P1:Y1"/>
    <mergeCell ref="Z1:AC1"/>
    <mergeCell ref="AD1:AF1"/>
  </mergeCells>
  <phoneticPr fontId="43" type="noConversion"/>
  <conditionalFormatting sqref="P3:Y112 AD3:AE112">
    <cfRule type="expression" dxfId="4" priority="1">
      <formula>P3 &gt;= PERCENTILE(P:P, 0.95)</formula>
    </cfRule>
    <cfRule type="expression" dxfId="3" priority="2">
      <formula>P3 &gt;= PERCENTILE(P:P, 0.8)</formula>
    </cfRule>
  </conditionalFormatting>
  <dataValidations count="5">
    <dataValidation type="list" allowBlank="1" sqref="G3:I112" xr:uid="{00000000-0002-0000-0200-000000000000}">
      <formula1>"pdf,epub,기타"</formula1>
    </dataValidation>
    <dataValidation type="list" allowBlank="1" sqref="AH3:AH112 O3:O112" xr:uid="{00000000-0002-0000-0200-000001000000}">
      <formula1>#REF!</formula1>
    </dataValidation>
    <dataValidation type="custom" allowBlank="1" showDropDown="1" sqref="K3:N112 P3:P112 S3:U112 W3:W112" xr:uid="{00000000-0002-0000-0200-000002000000}">
      <formula1>AND(ISNUMBER(K3),(NOT(OR(NOT(ISERROR(DATEVALUE(K3))), AND(ISNUMBER(K3), LEFT(CELL("format", K3))="D")))))</formula1>
    </dataValidation>
    <dataValidation type="list" allowBlank="1" sqref="J3:J112" xr:uid="{00000000-0002-0000-0200-000004000000}">
      <formula1>"옵션 1,옵션 2"</formula1>
    </dataValidation>
    <dataValidation type="list" allowBlank="1" sqref="AG3:AG112" xr:uid="{00000000-0002-0000-0200-000005000000}">
      <formula1>"다단 도서,일부 존재,없음"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1.25" defaultRowHeight="15.75" customHeight="1" outlineLevelCol="1"/>
  <cols>
    <col min="1" max="1" width="12.625" customWidth="1"/>
    <col min="2" max="2" width="15" customWidth="1"/>
    <col min="3" max="12" width="9" customWidth="1"/>
    <col min="13" max="13" width="11" customWidth="1"/>
    <col min="14" max="14" width="9.875" customWidth="1" outlineLevel="1"/>
    <col min="15" max="17" width="9.625" customWidth="1" outlineLevel="1"/>
    <col min="18" max="18" width="9.75" customWidth="1" outlineLevel="1"/>
    <col min="19" max="19" width="8.125" customWidth="1" outlineLevel="1"/>
    <col min="20" max="22" width="10.375" customWidth="1" outlineLevel="1"/>
    <col min="23" max="23" width="11.125" customWidth="1" outlineLevel="1"/>
    <col min="24" max="24" width="10.375" customWidth="1" outlineLevel="1"/>
    <col min="25" max="25" width="9.875" customWidth="1" outlineLevel="1"/>
    <col min="26" max="26" width="12.125" customWidth="1" outlineLevel="1"/>
    <col min="27" max="27" width="13.5" customWidth="1" outlineLevel="1"/>
    <col min="28" max="28" width="11" customWidth="1" outlineLevel="1"/>
    <col min="29" max="29" width="15.5" customWidth="1" outlineLevel="1"/>
    <col min="30" max="30" width="11" customWidth="1" outlineLevel="1"/>
    <col min="31" max="31" width="11" customWidth="1"/>
    <col min="32" max="32" width="9.125" customWidth="1"/>
    <col min="33" max="33" width="40.25" customWidth="1"/>
  </cols>
  <sheetData>
    <row r="1" spans="1:33" ht="13.5" customHeight="1">
      <c r="A1" s="47"/>
      <c r="B1" s="48"/>
      <c r="C1" s="48"/>
      <c r="D1" s="48"/>
      <c r="E1" s="48"/>
      <c r="F1" s="48"/>
      <c r="G1" s="49"/>
      <c r="H1" s="48"/>
      <c r="I1" s="48"/>
      <c r="J1" s="48"/>
      <c r="K1" s="49"/>
      <c r="L1" s="49"/>
      <c r="M1" s="48"/>
      <c r="N1" s="127" t="s">
        <v>92</v>
      </c>
      <c r="O1" s="124"/>
      <c r="P1" s="124"/>
      <c r="Q1" s="124"/>
      <c r="R1" s="124"/>
      <c r="S1" s="124"/>
      <c r="T1" s="124"/>
      <c r="U1" s="124"/>
      <c r="V1" s="124"/>
      <c r="W1" s="124"/>
      <c r="X1" s="128" t="s">
        <v>93</v>
      </c>
      <c r="Y1" s="124"/>
      <c r="Z1" s="124"/>
      <c r="AA1" s="124"/>
      <c r="AB1" s="129" t="s">
        <v>94</v>
      </c>
      <c r="AC1" s="130"/>
      <c r="AD1" s="131"/>
      <c r="AE1" s="49"/>
      <c r="AF1" s="49"/>
      <c r="AG1" s="49"/>
    </row>
    <row r="2" spans="1:33" ht="22.5" customHeight="1">
      <c r="A2" s="50" t="s">
        <v>95</v>
      </c>
      <c r="B2" s="50" t="s">
        <v>96</v>
      </c>
      <c r="C2" s="50" t="s">
        <v>97</v>
      </c>
      <c r="D2" s="50" t="s">
        <v>98</v>
      </c>
      <c r="E2" s="50" t="s">
        <v>99</v>
      </c>
      <c r="F2" s="50" t="s">
        <v>100</v>
      </c>
      <c r="G2" s="51" t="s">
        <v>101</v>
      </c>
      <c r="H2" s="50" t="s">
        <v>102</v>
      </c>
      <c r="I2" s="50" t="s">
        <v>103</v>
      </c>
      <c r="J2" s="50" t="s">
        <v>104</v>
      </c>
      <c r="K2" s="51" t="s">
        <v>105</v>
      </c>
      <c r="L2" s="51" t="s">
        <v>106</v>
      </c>
      <c r="M2" s="50" t="s">
        <v>107</v>
      </c>
      <c r="N2" s="51" t="s">
        <v>108</v>
      </c>
      <c r="O2" s="51" t="s">
        <v>109</v>
      </c>
      <c r="P2" s="51" t="s">
        <v>110</v>
      </c>
      <c r="Q2" s="51" t="s">
        <v>111</v>
      </c>
      <c r="R2" s="51" t="s">
        <v>112</v>
      </c>
      <c r="S2" s="51" t="s">
        <v>113</v>
      </c>
      <c r="T2" s="51" t="s">
        <v>114</v>
      </c>
      <c r="U2" s="51" t="s">
        <v>115</v>
      </c>
      <c r="V2" s="51" t="s">
        <v>116</v>
      </c>
      <c r="W2" s="51" t="s">
        <v>117</v>
      </c>
      <c r="X2" s="50" t="s">
        <v>118</v>
      </c>
      <c r="Y2" s="51" t="s">
        <v>119</v>
      </c>
      <c r="Z2" s="51" t="s">
        <v>120</v>
      </c>
      <c r="AA2" s="51" t="s">
        <v>121</v>
      </c>
      <c r="AB2" s="51" t="s">
        <v>122</v>
      </c>
      <c r="AC2" s="51" t="s">
        <v>123</v>
      </c>
      <c r="AD2" s="51" t="s">
        <v>124</v>
      </c>
      <c r="AE2" s="51" t="s">
        <v>125</v>
      </c>
      <c r="AF2" s="51" t="s">
        <v>126</v>
      </c>
      <c r="AG2" s="51" t="s">
        <v>127</v>
      </c>
    </row>
    <row r="3" spans="1:33" ht="22.5" customHeight="1">
      <c r="A3" s="52" t="s">
        <v>128</v>
      </c>
      <c r="B3" s="52" t="s">
        <v>129</v>
      </c>
      <c r="C3" s="52"/>
      <c r="D3" s="52"/>
      <c r="E3" s="52"/>
      <c r="F3" s="52"/>
      <c r="G3" s="1" t="s">
        <v>130</v>
      </c>
      <c r="H3" s="52"/>
      <c r="I3" s="52">
        <v>55</v>
      </c>
      <c r="J3" s="52">
        <v>2</v>
      </c>
      <c r="K3" s="53">
        <v>53</v>
      </c>
      <c r="L3" s="1">
        <f t="shared" ref="L3:L109" si="0">IF((K3-J3)&gt;0, K3-J3+1, 0)</f>
        <v>52</v>
      </c>
      <c r="M3" s="52" t="s">
        <v>131</v>
      </c>
      <c r="N3" s="1">
        <v>288</v>
      </c>
      <c r="O3" s="55"/>
      <c r="P3" s="55"/>
      <c r="Q3" s="55"/>
      <c r="R3" s="55"/>
      <c r="S3" s="55"/>
      <c r="T3" s="55"/>
      <c r="U3" s="55"/>
      <c r="V3" s="55"/>
      <c r="W3" s="1"/>
      <c r="X3" s="52"/>
      <c r="Y3" s="55"/>
      <c r="Z3" s="55"/>
      <c r="AA3" s="55"/>
      <c r="AB3" s="1"/>
      <c r="AC3" s="54"/>
      <c r="AD3" s="55"/>
      <c r="AE3" s="1" t="s">
        <v>132</v>
      </c>
      <c r="AF3" s="1" t="s">
        <v>133</v>
      </c>
      <c r="AG3" s="1"/>
    </row>
    <row r="4" spans="1:33" ht="22.5" customHeight="1">
      <c r="A4" s="52" t="s">
        <v>134</v>
      </c>
      <c r="B4" s="52" t="s">
        <v>135</v>
      </c>
      <c r="C4" s="52"/>
      <c r="D4" s="52"/>
      <c r="E4" s="52"/>
      <c r="F4" s="52"/>
      <c r="G4" s="1" t="s">
        <v>136</v>
      </c>
      <c r="H4" s="52"/>
      <c r="I4" s="52">
        <v>44</v>
      </c>
      <c r="J4" s="52">
        <v>5</v>
      </c>
      <c r="K4" s="56">
        <v>40</v>
      </c>
      <c r="L4" s="1">
        <f t="shared" si="0"/>
        <v>36</v>
      </c>
      <c r="M4" s="52" t="s">
        <v>137</v>
      </c>
      <c r="N4" s="1">
        <v>323</v>
      </c>
      <c r="O4" s="55"/>
      <c r="P4" s="55"/>
      <c r="Q4" s="55"/>
      <c r="R4" s="55"/>
      <c r="S4" s="55"/>
      <c r="T4" s="55"/>
      <c r="U4" s="55"/>
      <c r="V4" s="55"/>
      <c r="W4" s="1"/>
      <c r="X4" s="52"/>
      <c r="Y4" s="55"/>
      <c r="Z4" s="55"/>
      <c r="AA4" s="55"/>
      <c r="AB4" s="1"/>
      <c r="AC4" s="54"/>
      <c r="AD4" s="55"/>
      <c r="AE4" s="1" t="s">
        <v>138</v>
      </c>
      <c r="AF4" s="1" t="s">
        <v>139</v>
      </c>
      <c r="AG4" s="1"/>
    </row>
    <row r="5" spans="1:33" ht="22.5" customHeight="1">
      <c r="A5" s="52" t="s">
        <v>140</v>
      </c>
      <c r="B5" s="52" t="s">
        <v>141</v>
      </c>
      <c r="C5" s="52"/>
      <c r="D5" s="52"/>
      <c r="E5" s="52"/>
      <c r="F5" s="52"/>
      <c r="G5" s="1"/>
      <c r="H5" s="52"/>
      <c r="I5" s="52">
        <v>100</v>
      </c>
      <c r="J5" s="52">
        <v>8</v>
      </c>
      <c r="K5" s="56">
        <v>91</v>
      </c>
      <c r="L5" s="1">
        <f t="shared" si="0"/>
        <v>84</v>
      </c>
      <c r="M5" s="52" t="s">
        <v>142</v>
      </c>
      <c r="N5" s="1"/>
      <c r="O5" s="55"/>
      <c r="P5" s="55"/>
      <c r="Q5" s="55"/>
      <c r="R5" s="55"/>
      <c r="S5" s="55"/>
      <c r="T5" s="55"/>
      <c r="U5" s="55"/>
      <c r="V5" s="55"/>
      <c r="W5" s="1"/>
      <c r="X5" s="52"/>
      <c r="Y5" s="55"/>
      <c r="Z5" s="55"/>
      <c r="AA5" s="55"/>
      <c r="AB5" s="1"/>
      <c r="AC5" s="1"/>
      <c r="AD5" s="55"/>
      <c r="AE5" s="1"/>
      <c r="AF5" s="1"/>
      <c r="AG5" s="1"/>
    </row>
    <row r="6" spans="1:33" ht="22.5" customHeight="1">
      <c r="A6" s="52" t="s">
        <v>143</v>
      </c>
      <c r="B6" s="52" t="s">
        <v>144</v>
      </c>
      <c r="C6" s="52"/>
      <c r="D6" s="52"/>
      <c r="E6" s="52"/>
      <c r="F6" s="52"/>
      <c r="G6" s="1"/>
      <c r="H6" s="52"/>
      <c r="I6" s="52">
        <v>2000</v>
      </c>
      <c r="J6" s="52">
        <v>3</v>
      </c>
      <c r="K6" s="56">
        <v>1987</v>
      </c>
      <c r="L6" s="1">
        <f t="shared" si="0"/>
        <v>1985</v>
      </c>
      <c r="M6" s="52" t="s">
        <v>145</v>
      </c>
      <c r="N6" s="1"/>
      <c r="O6" s="55"/>
      <c r="P6" s="55"/>
      <c r="Q6" s="55"/>
      <c r="R6" s="55"/>
      <c r="S6" s="55"/>
      <c r="T6" s="55"/>
      <c r="U6" s="55"/>
      <c r="V6" s="55"/>
      <c r="W6" s="1"/>
      <c r="X6" s="52"/>
      <c r="Y6" s="55"/>
      <c r="Z6" s="55"/>
      <c r="AA6" s="55"/>
      <c r="AB6" s="1"/>
      <c r="AC6" s="1"/>
      <c r="AD6" s="55"/>
      <c r="AE6" s="1"/>
      <c r="AF6" s="1"/>
      <c r="AG6" s="1"/>
    </row>
    <row r="7" spans="1:33" ht="22.5" customHeight="1">
      <c r="A7" s="52" t="s">
        <v>146</v>
      </c>
      <c r="B7" s="52"/>
      <c r="C7" s="52"/>
      <c r="D7" s="52"/>
      <c r="E7" s="52"/>
      <c r="F7" s="52"/>
      <c r="G7" s="1"/>
      <c r="H7" s="52"/>
      <c r="I7" s="52">
        <v>10</v>
      </c>
      <c r="J7" s="52">
        <v>1</v>
      </c>
      <c r="K7" s="56">
        <v>10</v>
      </c>
      <c r="L7" s="1">
        <f t="shared" si="0"/>
        <v>10</v>
      </c>
      <c r="M7" s="52"/>
      <c r="N7" s="1"/>
      <c r="O7" s="55"/>
      <c r="P7" s="55"/>
      <c r="Q7" s="55"/>
      <c r="R7" s="55"/>
      <c r="S7" s="55"/>
      <c r="T7" s="55"/>
      <c r="U7" s="55"/>
      <c r="V7" s="55"/>
      <c r="W7" s="1"/>
      <c r="X7" s="52"/>
      <c r="Y7" s="55"/>
      <c r="Z7" s="55"/>
      <c r="AA7" s="55"/>
      <c r="AB7" s="1"/>
      <c r="AC7" s="1"/>
      <c r="AD7" s="55"/>
      <c r="AE7" s="1"/>
      <c r="AF7" s="1"/>
      <c r="AG7" s="1"/>
    </row>
    <row r="8" spans="1:33" ht="22.5" customHeight="1">
      <c r="A8" s="52" t="s">
        <v>147</v>
      </c>
      <c r="B8" s="52"/>
      <c r="C8" s="52"/>
      <c r="D8" s="52"/>
      <c r="E8" s="52"/>
      <c r="F8" s="52"/>
      <c r="G8" s="1"/>
      <c r="H8" s="52"/>
      <c r="I8" s="52">
        <v>10</v>
      </c>
      <c r="J8" s="52">
        <v>1</v>
      </c>
      <c r="K8" s="57">
        <v>10</v>
      </c>
      <c r="L8" s="1">
        <f t="shared" si="0"/>
        <v>10</v>
      </c>
      <c r="M8" s="52"/>
      <c r="N8" s="1">
        <v>320</v>
      </c>
      <c r="O8" s="55"/>
      <c r="P8" s="55"/>
      <c r="Q8" s="55"/>
      <c r="R8" s="55"/>
      <c r="S8" s="55"/>
      <c r="T8" s="55"/>
      <c r="U8" s="55"/>
      <c r="V8" s="55"/>
      <c r="W8" s="1"/>
      <c r="X8" s="52"/>
      <c r="Y8" s="55"/>
      <c r="Z8" s="55"/>
      <c r="AA8" s="55"/>
      <c r="AB8" s="1"/>
      <c r="AC8" s="1"/>
      <c r="AD8" s="55"/>
      <c r="AE8" s="1"/>
      <c r="AF8" s="1"/>
      <c r="AG8" s="1"/>
    </row>
    <row r="9" spans="1:33" ht="22.5" customHeight="1">
      <c r="A9" s="52" t="s">
        <v>148</v>
      </c>
      <c r="B9" s="52"/>
      <c r="C9" s="52"/>
      <c r="D9" s="52"/>
      <c r="E9" s="52"/>
      <c r="F9" s="52"/>
      <c r="G9" s="1"/>
      <c r="H9" s="52"/>
      <c r="I9" s="52">
        <v>15</v>
      </c>
      <c r="J9" s="52">
        <v>3</v>
      </c>
      <c r="K9" s="58">
        <v>15</v>
      </c>
      <c r="L9" s="1">
        <f t="shared" si="0"/>
        <v>13</v>
      </c>
      <c r="M9" s="52"/>
      <c r="N9" s="1">
        <v>476</v>
      </c>
      <c r="O9" s="55"/>
      <c r="P9" s="55"/>
      <c r="Q9" s="55"/>
      <c r="R9" s="55"/>
      <c r="S9" s="55"/>
      <c r="T9" s="55"/>
      <c r="U9" s="55"/>
      <c r="V9" s="55"/>
      <c r="W9" s="1"/>
      <c r="X9" s="52"/>
      <c r="Y9" s="55"/>
      <c r="Z9" s="55"/>
      <c r="AA9" s="55"/>
      <c r="AB9" s="1"/>
      <c r="AC9" s="1"/>
      <c r="AD9" s="55"/>
      <c r="AE9" s="1"/>
      <c r="AF9" s="1"/>
      <c r="AG9" s="1"/>
    </row>
    <row r="10" spans="1:33" ht="22.5" customHeight="1">
      <c r="A10" s="52" t="s">
        <v>149</v>
      </c>
      <c r="B10" s="52"/>
      <c r="C10" s="52"/>
      <c r="D10" s="52"/>
      <c r="E10" s="52"/>
      <c r="F10" s="52"/>
      <c r="G10" s="1"/>
      <c r="H10" s="52"/>
      <c r="I10" s="52"/>
      <c r="J10" s="52"/>
      <c r="K10" s="59"/>
      <c r="L10" s="1">
        <f t="shared" si="0"/>
        <v>0</v>
      </c>
      <c r="M10" s="52"/>
      <c r="N10" s="1">
        <v>354</v>
      </c>
      <c r="O10" s="55"/>
      <c r="P10" s="55"/>
      <c r="Q10" s="55"/>
      <c r="R10" s="55"/>
      <c r="S10" s="55"/>
      <c r="T10" s="55"/>
      <c r="U10" s="55"/>
      <c r="V10" s="55"/>
      <c r="W10" s="1"/>
      <c r="X10" s="52"/>
      <c r="Y10" s="55"/>
      <c r="Z10" s="55"/>
      <c r="AA10" s="55"/>
      <c r="AB10" s="1"/>
      <c r="AC10" s="1"/>
      <c r="AD10" s="55"/>
      <c r="AE10" s="1"/>
      <c r="AF10" s="1"/>
      <c r="AG10" s="1"/>
    </row>
    <row r="11" spans="1:33" ht="22.5" customHeight="1">
      <c r="A11" s="52" t="s">
        <v>150</v>
      </c>
      <c r="B11" s="1"/>
      <c r="C11" s="1"/>
      <c r="D11" s="1"/>
      <c r="E11" s="1"/>
      <c r="F11" s="1"/>
      <c r="G11" s="1"/>
      <c r="H11" s="1"/>
      <c r="I11" s="1"/>
      <c r="J11" s="1"/>
      <c r="K11" s="53"/>
      <c r="L11" s="1">
        <f t="shared" si="0"/>
        <v>0</v>
      </c>
      <c r="M11" s="1"/>
      <c r="N11" s="1">
        <v>248</v>
      </c>
      <c r="O11" s="55"/>
      <c r="P11" s="55"/>
      <c r="Q11" s="55"/>
      <c r="R11" s="55"/>
      <c r="S11" s="55"/>
      <c r="T11" s="55"/>
      <c r="U11" s="55"/>
      <c r="V11" s="55"/>
      <c r="W11" s="1"/>
      <c r="X11" s="1"/>
      <c r="Y11" s="55"/>
      <c r="Z11" s="55"/>
      <c r="AA11" s="55"/>
      <c r="AB11" s="1"/>
      <c r="AC11" s="1"/>
      <c r="AD11" s="55"/>
      <c r="AE11" s="1"/>
      <c r="AF11" s="1"/>
      <c r="AG11" s="1"/>
    </row>
    <row r="12" spans="1:33" ht="22.5" customHeight="1">
      <c r="A12" s="52" t="s">
        <v>151</v>
      </c>
      <c r="B12" s="1"/>
      <c r="C12" s="1"/>
      <c r="D12" s="1"/>
      <c r="E12" s="1"/>
      <c r="F12" s="1"/>
      <c r="G12" s="1"/>
      <c r="H12" s="1"/>
      <c r="I12" s="1"/>
      <c r="J12" s="1"/>
      <c r="K12" s="60"/>
      <c r="L12" s="1">
        <f t="shared" si="0"/>
        <v>0</v>
      </c>
      <c r="M12" s="1"/>
      <c r="N12" s="1">
        <v>640</v>
      </c>
      <c r="O12" s="55"/>
      <c r="P12" s="55"/>
      <c r="Q12" s="55"/>
      <c r="R12" s="55"/>
      <c r="S12" s="55"/>
      <c r="T12" s="55"/>
      <c r="U12" s="55"/>
      <c r="V12" s="55"/>
      <c r="W12" s="1"/>
      <c r="X12" s="1"/>
      <c r="Y12" s="55"/>
      <c r="Z12" s="55"/>
      <c r="AA12" s="55"/>
      <c r="AB12" s="1"/>
      <c r="AC12" s="1"/>
      <c r="AD12" s="55"/>
      <c r="AE12" s="1"/>
      <c r="AF12" s="1"/>
      <c r="AG12" s="1"/>
    </row>
    <row r="13" spans="1:33" ht="22.5" customHeight="1">
      <c r="A13" s="52" t="s">
        <v>152</v>
      </c>
      <c r="B13" s="1"/>
      <c r="C13" s="1"/>
      <c r="D13" s="1"/>
      <c r="E13" s="1"/>
      <c r="F13" s="1"/>
      <c r="G13" s="1"/>
      <c r="H13" s="1"/>
      <c r="I13" s="1"/>
      <c r="J13" s="1"/>
      <c r="K13" s="61"/>
      <c r="L13" s="1">
        <f t="shared" si="0"/>
        <v>0</v>
      </c>
      <c r="M13" s="1"/>
      <c r="N13" s="1">
        <v>248</v>
      </c>
      <c r="O13" s="55"/>
      <c r="P13" s="55"/>
      <c r="Q13" s="55"/>
      <c r="R13" s="55"/>
      <c r="S13" s="55"/>
      <c r="T13" s="55"/>
      <c r="U13" s="55"/>
      <c r="V13" s="55"/>
      <c r="W13" s="1"/>
      <c r="X13" s="1"/>
      <c r="Y13" s="55"/>
      <c r="Z13" s="55"/>
      <c r="AA13" s="55"/>
      <c r="AB13" s="1"/>
      <c r="AC13" s="1"/>
      <c r="AD13" s="55"/>
      <c r="AE13" s="1"/>
      <c r="AF13" s="1"/>
      <c r="AG13" s="1"/>
    </row>
    <row r="14" spans="1:33" ht="22.5" customHeight="1">
      <c r="A14" s="52" t="s">
        <v>153</v>
      </c>
      <c r="B14" s="1"/>
      <c r="C14" s="1"/>
      <c r="D14" s="1"/>
      <c r="E14" s="1"/>
      <c r="F14" s="1"/>
      <c r="G14" s="1"/>
      <c r="H14" s="1"/>
      <c r="I14" s="1"/>
      <c r="J14" s="1"/>
      <c r="K14" s="61"/>
      <c r="L14" s="1">
        <f t="shared" si="0"/>
        <v>0</v>
      </c>
      <c r="M14" s="1"/>
      <c r="N14" s="1">
        <v>212</v>
      </c>
      <c r="O14" s="55"/>
      <c r="P14" s="55"/>
      <c r="Q14" s="55"/>
      <c r="R14" s="55"/>
      <c r="S14" s="55"/>
      <c r="T14" s="55"/>
      <c r="U14" s="55"/>
      <c r="V14" s="55"/>
      <c r="W14" s="1"/>
      <c r="X14" s="1"/>
      <c r="Y14" s="55"/>
      <c r="Z14" s="55"/>
      <c r="AA14" s="55"/>
      <c r="AB14" s="1"/>
      <c r="AC14" s="1"/>
      <c r="AD14" s="55"/>
      <c r="AE14" s="1"/>
      <c r="AF14" s="1"/>
      <c r="AG14" s="1"/>
    </row>
    <row r="15" spans="1:33" ht="22.5" customHeight="1">
      <c r="A15" s="52" t="s">
        <v>154</v>
      </c>
      <c r="B15" s="1"/>
      <c r="C15" s="1"/>
      <c r="D15" s="1"/>
      <c r="E15" s="1"/>
      <c r="F15" s="1"/>
      <c r="G15" s="1"/>
      <c r="H15" s="1"/>
      <c r="I15" s="1"/>
      <c r="J15" s="1"/>
      <c r="K15" s="61"/>
      <c r="L15" s="1">
        <f t="shared" si="0"/>
        <v>0</v>
      </c>
      <c r="M15" s="1"/>
      <c r="N15" s="1">
        <v>360</v>
      </c>
      <c r="O15" s="55"/>
      <c r="P15" s="55"/>
      <c r="Q15" s="55"/>
      <c r="R15" s="55"/>
      <c r="S15" s="55"/>
      <c r="T15" s="55"/>
      <c r="U15" s="55"/>
      <c r="V15" s="55"/>
      <c r="W15" s="1"/>
      <c r="X15" s="1"/>
      <c r="Y15" s="55"/>
      <c r="Z15" s="55"/>
      <c r="AA15" s="55"/>
      <c r="AB15" s="1"/>
      <c r="AC15" s="1"/>
      <c r="AD15" s="55"/>
      <c r="AE15" s="1"/>
      <c r="AF15" s="1"/>
      <c r="AG15" s="1"/>
    </row>
    <row r="16" spans="1:33" ht="22.5" customHeight="1">
      <c r="A16" s="52" t="s">
        <v>155</v>
      </c>
      <c r="B16" s="1"/>
      <c r="C16" s="1"/>
      <c r="D16" s="1"/>
      <c r="E16" s="1"/>
      <c r="F16" s="1"/>
      <c r="G16" s="1"/>
      <c r="H16" s="1"/>
      <c r="I16" s="1"/>
      <c r="J16" s="1"/>
      <c r="K16" s="61"/>
      <c r="L16" s="1">
        <f t="shared" si="0"/>
        <v>0</v>
      </c>
      <c r="M16" s="1"/>
      <c r="N16" s="1">
        <v>299</v>
      </c>
      <c r="O16" s="55"/>
      <c r="P16" s="55"/>
      <c r="Q16" s="55"/>
      <c r="R16" s="55"/>
      <c r="S16" s="55"/>
      <c r="T16" s="55"/>
      <c r="U16" s="55"/>
      <c r="V16" s="55"/>
      <c r="W16" s="1"/>
      <c r="X16" s="1"/>
      <c r="Y16" s="55"/>
      <c r="Z16" s="55"/>
      <c r="AA16" s="55"/>
      <c r="AB16" s="1"/>
      <c r="AC16" s="1"/>
      <c r="AD16" s="55"/>
      <c r="AE16" s="1"/>
      <c r="AF16" s="1"/>
      <c r="AG16" s="1"/>
    </row>
    <row r="17" spans="1:33" ht="22.5" customHeight="1">
      <c r="A17" s="52" t="s">
        <v>156</v>
      </c>
      <c r="B17" s="1"/>
      <c r="C17" s="1"/>
      <c r="D17" s="1"/>
      <c r="E17" s="1"/>
      <c r="F17" s="1"/>
      <c r="G17" s="1"/>
      <c r="H17" s="1"/>
      <c r="I17" s="1"/>
      <c r="J17" s="1"/>
      <c r="K17" s="61"/>
      <c r="L17" s="1">
        <f t="shared" si="0"/>
        <v>0</v>
      </c>
      <c r="M17" s="1"/>
      <c r="N17" s="1">
        <v>288</v>
      </c>
      <c r="O17" s="55"/>
      <c r="P17" s="55"/>
      <c r="Q17" s="55"/>
      <c r="R17" s="55"/>
      <c r="S17" s="55"/>
      <c r="T17" s="55"/>
      <c r="U17" s="55"/>
      <c r="V17" s="55"/>
      <c r="W17" s="1"/>
      <c r="X17" s="1"/>
      <c r="Y17" s="55"/>
      <c r="Z17" s="55"/>
      <c r="AA17" s="55"/>
      <c r="AB17" s="1"/>
      <c r="AC17" s="1"/>
      <c r="AD17" s="55"/>
      <c r="AE17" s="1"/>
      <c r="AF17" s="1"/>
      <c r="AG17" s="1"/>
    </row>
    <row r="18" spans="1:33" ht="22.5" customHeight="1">
      <c r="A18" s="52" t="s">
        <v>157</v>
      </c>
      <c r="B18" s="1"/>
      <c r="C18" s="1"/>
      <c r="D18" s="1"/>
      <c r="E18" s="1"/>
      <c r="F18" s="1"/>
      <c r="G18" s="1"/>
      <c r="H18" s="1"/>
      <c r="I18" s="1"/>
      <c r="J18" s="1"/>
      <c r="K18" s="62"/>
      <c r="L18" s="1">
        <f t="shared" si="0"/>
        <v>0</v>
      </c>
      <c r="M18" s="1"/>
      <c r="N18" s="1">
        <v>532</v>
      </c>
      <c r="O18" s="55"/>
      <c r="P18" s="55"/>
      <c r="Q18" s="55"/>
      <c r="R18" s="55"/>
      <c r="S18" s="55"/>
      <c r="T18" s="55"/>
      <c r="U18" s="55"/>
      <c r="V18" s="55"/>
      <c r="W18" s="1"/>
      <c r="X18" s="1"/>
      <c r="Y18" s="55"/>
      <c r="Z18" s="55"/>
      <c r="AA18" s="55"/>
      <c r="AB18" s="1"/>
      <c r="AC18" s="1"/>
      <c r="AD18" s="55"/>
      <c r="AE18" s="1"/>
      <c r="AF18" s="1"/>
      <c r="AG18" s="1"/>
    </row>
    <row r="19" spans="1:33" ht="22.5" customHeight="1">
      <c r="A19" s="52" t="s">
        <v>158</v>
      </c>
      <c r="B19" s="1"/>
      <c r="C19" s="1"/>
      <c r="D19" s="1"/>
      <c r="E19" s="1"/>
      <c r="F19" s="1"/>
      <c r="G19" s="1"/>
      <c r="H19" s="1"/>
      <c r="I19" s="1"/>
      <c r="J19" s="1"/>
      <c r="K19" s="63"/>
      <c r="L19" s="1">
        <f t="shared" si="0"/>
        <v>0</v>
      </c>
      <c r="M19" s="1"/>
      <c r="N19" s="1">
        <v>328</v>
      </c>
      <c r="O19" s="55"/>
      <c r="P19" s="55"/>
      <c r="Q19" s="55"/>
      <c r="R19" s="55"/>
      <c r="S19" s="55"/>
      <c r="T19" s="55"/>
      <c r="U19" s="55"/>
      <c r="V19" s="55"/>
      <c r="W19" s="1"/>
      <c r="X19" s="1"/>
      <c r="Y19" s="55"/>
      <c r="Z19" s="55"/>
      <c r="AA19" s="55"/>
      <c r="AB19" s="1"/>
      <c r="AC19" s="1"/>
      <c r="AD19" s="55"/>
      <c r="AE19" s="1"/>
      <c r="AF19" s="1"/>
      <c r="AG19" s="1"/>
    </row>
    <row r="20" spans="1:33" ht="22.5" customHeight="1">
      <c r="A20" s="52" t="s">
        <v>159</v>
      </c>
      <c r="B20" s="1"/>
      <c r="C20" s="1"/>
      <c r="D20" s="1"/>
      <c r="E20" s="1"/>
      <c r="F20" s="1"/>
      <c r="G20" s="1"/>
      <c r="H20" s="1"/>
      <c r="I20" s="1"/>
      <c r="J20" s="1"/>
      <c r="K20" s="63"/>
      <c r="L20" s="1">
        <f t="shared" si="0"/>
        <v>0</v>
      </c>
      <c r="M20" s="1"/>
      <c r="N20" s="1">
        <v>391</v>
      </c>
      <c r="O20" s="55"/>
      <c r="P20" s="55"/>
      <c r="Q20" s="55"/>
      <c r="R20" s="55"/>
      <c r="S20" s="55"/>
      <c r="T20" s="55"/>
      <c r="U20" s="55"/>
      <c r="V20" s="55"/>
      <c r="W20" s="1"/>
      <c r="X20" s="1"/>
      <c r="Y20" s="55"/>
      <c r="Z20" s="55"/>
      <c r="AA20" s="55"/>
      <c r="AB20" s="1"/>
      <c r="AC20" s="1"/>
      <c r="AD20" s="55"/>
      <c r="AE20" s="1"/>
      <c r="AF20" s="1"/>
      <c r="AG20" s="1"/>
    </row>
    <row r="21" spans="1:33" ht="22.5" customHeight="1">
      <c r="A21" s="52" t="s">
        <v>160</v>
      </c>
      <c r="B21" s="1"/>
      <c r="C21" s="1"/>
      <c r="D21" s="1"/>
      <c r="E21" s="1"/>
      <c r="F21" s="1"/>
      <c r="G21" s="1"/>
      <c r="H21" s="1"/>
      <c r="I21" s="1"/>
      <c r="J21" s="1"/>
      <c r="K21" s="63"/>
      <c r="L21" s="1">
        <f t="shared" si="0"/>
        <v>0</v>
      </c>
      <c r="M21" s="1"/>
      <c r="N21" s="1">
        <v>288</v>
      </c>
      <c r="O21" s="55"/>
      <c r="P21" s="55"/>
      <c r="Q21" s="55"/>
      <c r="R21" s="55"/>
      <c r="S21" s="55"/>
      <c r="T21" s="55"/>
      <c r="U21" s="55"/>
      <c r="V21" s="55"/>
      <c r="W21" s="1"/>
      <c r="X21" s="1"/>
      <c r="Y21" s="55"/>
      <c r="Z21" s="55"/>
      <c r="AA21" s="55"/>
      <c r="AB21" s="1"/>
      <c r="AC21" s="1"/>
      <c r="AD21" s="55"/>
      <c r="AE21" s="1"/>
      <c r="AF21" s="1"/>
      <c r="AG21" s="1"/>
    </row>
    <row r="22" spans="1:33" ht="22.5" customHeight="1">
      <c r="A22" s="52" t="s">
        <v>161</v>
      </c>
      <c r="B22" s="1"/>
      <c r="C22" s="1"/>
      <c r="D22" s="1"/>
      <c r="E22" s="1"/>
      <c r="F22" s="1"/>
      <c r="G22" s="1"/>
      <c r="H22" s="1"/>
      <c r="I22" s="1"/>
      <c r="J22" s="1"/>
      <c r="K22" s="63"/>
      <c r="L22" s="1">
        <f t="shared" si="0"/>
        <v>0</v>
      </c>
      <c r="M22" s="1"/>
      <c r="N22" s="1">
        <v>275</v>
      </c>
      <c r="O22" s="55"/>
      <c r="P22" s="55"/>
      <c r="Q22" s="55"/>
      <c r="R22" s="55"/>
      <c r="S22" s="55"/>
      <c r="T22" s="55"/>
      <c r="U22" s="55"/>
      <c r="V22" s="55"/>
      <c r="W22" s="1"/>
      <c r="X22" s="1"/>
      <c r="Y22" s="55"/>
      <c r="Z22" s="55"/>
      <c r="AA22" s="55"/>
      <c r="AB22" s="1"/>
      <c r="AC22" s="1"/>
      <c r="AD22" s="55"/>
      <c r="AE22" s="1"/>
      <c r="AF22" s="1"/>
      <c r="AG22" s="1"/>
    </row>
    <row r="23" spans="1:33" ht="22.5" customHeight="1">
      <c r="A23" s="52" t="s">
        <v>162</v>
      </c>
      <c r="B23" s="1"/>
      <c r="C23" s="1"/>
      <c r="D23" s="1"/>
      <c r="E23" s="1"/>
      <c r="F23" s="1"/>
      <c r="G23" s="1"/>
      <c r="H23" s="1"/>
      <c r="I23" s="1"/>
      <c r="J23" s="1"/>
      <c r="K23" s="63"/>
      <c r="L23" s="1">
        <f t="shared" si="0"/>
        <v>0</v>
      </c>
      <c r="M23" s="1"/>
      <c r="N23" s="1">
        <v>407</v>
      </c>
      <c r="O23" s="55"/>
      <c r="P23" s="55"/>
      <c r="Q23" s="55"/>
      <c r="R23" s="55"/>
      <c r="S23" s="55"/>
      <c r="T23" s="55"/>
      <c r="U23" s="55"/>
      <c r="V23" s="55"/>
      <c r="W23" s="1"/>
      <c r="X23" s="1"/>
      <c r="Y23" s="55"/>
      <c r="Z23" s="55"/>
      <c r="AA23" s="55"/>
      <c r="AB23" s="1"/>
      <c r="AC23" s="1"/>
      <c r="AD23" s="55"/>
      <c r="AE23" s="1"/>
      <c r="AF23" s="1"/>
      <c r="AG23" s="1"/>
    </row>
    <row r="24" spans="1:33" ht="22.5" customHeight="1">
      <c r="A24" s="52" t="s">
        <v>163</v>
      </c>
      <c r="B24" s="1"/>
      <c r="C24" s="1"/>
      <c r="D24" s="1"/>
      <c r="E24" s="1"/>
      <c r="F24" s="1"/>
      <c r="G24" s="1"/>
      <c r="H24" s="1"/>
      <c r="I24" s="1"/>
      <c r="J24" s="1"/>
      <c r="K24" s="63"/>
      <c r="L24" s="1">
        <f t="shared" si="0"/>
        <v>0</v>
      </c>
      <c r="M24" s="1"/>
      <c r="N24" s="1">
        <v>441</v>
      </c>
      <c r="O24" s="55"/>
      <c r="P24" s="55"/>
      <c r="Q24" s="55"/>
      <c r="R24" s="55"/>
      <c r="S24" s="55"/>
      <c r="T24" s="55"/>
      <c r="U24" s="55"/>
      <c r="V24" s="55"/>
      <c r="W24" s="1"/>
      <c r="X24" s="1"/>
      <c r="Y24" s="55"/>
      <c r="Z24" s="55"/>
      <c r="AA24" s="55"/>
      <c r="AB24" s="1"/>
      <c r="AC24" s="1"/>
      <c r="AD24" s="55"/>
      <c r="AE24" s="1"/>
      <c r="AF24" s="1"/>
      <c r="AG24" s="1"/>
    </row>
    <row r="25" spans="1:33" ht="22.5" customHeight="1">
      <c r="A25" s="52" t="s">
        <v>164</v>
      </c>
      <c r="B25" s="1"/>
      <c r="C25" s="1"/>
      <c r="D25" s="1"/>
      <c r="E25" s="1"/>
      <c r="F25" s="1"/>
      <c r="G25" s="1"/>
      <c r="H25" s="1"/>
      <c r="I25" s="1"/>
      <c r="J25" s="1"/>
      <c r="K25" s="63"/>
      <c r="L25" s="1">
        <f t="shared" si="0"/>
        <v>0</v>
      </c>
      <c r="M25" s="1"/>
      <c r="N25" s="1">
        <v>218</v>
      </c>
      <c r="O25" s="55"/>
      <c r="P25" s="55"/>
      <c r="Q25" s="55"/>
      <c r="R25" s="55"/>
      <c r="S25" s="55"/>
      <c r="T25" s="55"/>
      <c r="U25" s="55"/>
      <c r="V25" s="55"/>
      <c r="W25" s="1"/>
      <c r="X25" s="1"/>
      <c r="Y25" s="55"/>
      <c r="Z25" s="55"/>
      <c r="AA25" s="55"/>
      <c r="AB25" s="1"/>
      <c r="AC25" s="1"/>
      <c r="AD25" s="55"/>
      <c r="AE25" s="1"/>
      <c r="AF25" s="1"/>
      <c r="AG25" s="1"/>
    </row>
    <row r="26" spans="1:33" ht="22.5" customHeight="1">
      <c r="A26" s="52" t="s">
        <v>165</v>
      </c>
      <c r="B26" s="1"/>
      <c r="C26" s="1"/>
      <c r="D26" s="1"/>
      <c r="E26" s="1"/>
      <c r="F26" s="1"/>
      <c r="G26" s="1"/>
      <c r="H26" s="1"/>
      <c r="I26" s="1"/>
      <c r="J26" s="1"/>
      <c r="K26" s="63"/>
      <c r="L26" s="1">
        <f t="shared" si="0"/>
        <v>0</v>
      </c>
      <c r="M26" s="1"/>
      <c r="N26" s="1">
        <v>552</v>
      </c>
      <c r="O26" s="55"/>
      <c r="P26" s="55"/>
      <c r="Q26" s="55"/>
      <c r="R26" s="55"/>
      <c r="S26" s="55"/>
      <c r="T26" s="55"/>
      <c r="U26" s="55"/>
      <c r="V26" s="55"/>
      <c r="W26" s="1"/>
      <c r="X26" s="1"/>
      <c r="Y26" s="55"/>
      <c r="Z26" s="55"/>
      <c r="AA26" s="55"/>
      <c r="AB26" s="1"/>
      <c r="AC26" s="1"/>
      <c r="AD26" s="55"/>
      <c r="AE26" s="1"/>
      <c r="AF26" s="1"/>
      <c r="AG26" s="1"/>
    </row>
    <row r="27" spans="1:33" ht="22.5" customHeight="1">
      <c r="A27" s="52" t="s">
        <v>166</v>
      </c>
      <c r="B27" s="1"/>
      <c r="C27" s="1"/>
      <c r="D27" s="1"/>
      <c r="E27" s="1"/>
      <c r="F27" s="1"/>
      <c r="G27" s="1"/>
      <c r="H27" s="1"/>
      <c r="I27" s="1"/>
      <c r="J27" s="1"/>
      <c r="K27" s="63"/>
      <c r="L27" s="1">
        <f t="shared" si="0"/>
        <v>0</v>
      </c>
      <c r="M27" s="1"/>
      <c r="N27" s="1">
        <v>391</v>
      </c>
      <c r="O27" s="55"/>
      <c r="P27" s="55"/>
      <c r="Q27" s="55"/>
      <c r="R27" s="55"/>
      <c r="S27" s="55"/>
      <c r="T27" s="55"/>
      <c r="U27" s="55"/>
      <c r="V27" s="55"/>
      <c r="W27" s="1"/>
      <c r="X27" s="1"/>
      <c r="Y27" s="55"/>
      <c r="Z27" s="55"/>
      <c r="AA27" s="55"/>
      <c r="AB27" s="1"/>
      <c r="AC27" s="1"/>
      <c r="AD27" s="55"/>
      <c r="AE27" s="1"/>
      <c r="AF27" s="1"/>
      <c r="AG27" s="1"/>
    </row>
    <row r="28" spans="1:33" ht="22.5" customHeight="1">
      <c r="A28" s="52" t="s">
        <v>167</v>
      </c>
      <c r="B28" s="1"/>
      <c r="C28" s="1"/>
      <c r="D28" s="1"/>
      <c r="E28" s="1"/>
      <c r="F28" s="1"/>
      <c r="G28" s="1"/>
      <c r="H28" s="1"/>
      <c r="I28" s="1"/>
      <c r="J28" s="1"/>
      <c r="K28" s="63"/>
      <c r="L28" s="1">
        <f t="shared" si="0"/>
        <v>0</v>
      </c>
      <c r="M28" s="1"/>
      <c r="N28" s="1">
        <v>344</v>
      </c>
      <c r="O28" s="55"/>
      <c r="P28" s="55"/>
      <c r="Q28" s="55"/>
      <c r="R28" s="55"/>
      <c r="S28" s="55"/>
      <c r="T28" s="55"/>
      <c r="U28" s="55"/>
      <c r="V28" s="55"/>
      <c r="W28" s="1"/>
      <c r="X28" s="1"/>
      <c r="Y28" s="55"/>
      <c r="Z28" s="55"/>
      <c r="AA28" s="55"/>
      <c r="AB28" s="1"/>
      <c r="AC28" s="1"/>
      <c r="AD28" s="55"/>
      <c r="AE28" s="1"/>
      <c r="AF28" s="1"/>
      <c r="AG28" s="1"/>
    </row>
    <row r="29" spans="1:33" ht="22.5" customHeight="1">
      <c r="A29" s="52" t="s">
        <v>168</v>
      </c>
      <c r="B29" s="1"/>
      <c r="C29" s="1"/>
      <c r="D29" s="1"/>
      <c r="E29" s="1"/>
      <c r="F29" s="1"/>
      <c r="G29" s="1"/>
      <c r="H29" s="1"/>
      <c r="I29" s="1"/>
      <c r="J29" s="1"/>
      <c r="K29" s="63"/>
      <c r="L29" s="1">
        <f t="shared" si="0"/>
        <v>0</v>
      </c>
      <c r="M29" s="1"/>
      <c r="N29" s="1">
        <v>600</v>
      </c>
      <c r="O29" s="55"/>
      <c r="P29" s="55"/>
      <c r="Q29" s="55"/>
      <c r="R29" s="55"/>
      <c r="S29" s="55"/>
      <c r="T29" s="55"/>
      <c r="U29" s="55"/>
      <c r="V29" s="55"/>
      <c r="W29" s="1"/>
      <c r="X29" s="1"/>
      <c r="Y29" s="55"/>
      <c r="Z29" s="55"/>
      <c r="AA29" s="55"/>
      <c r="AB29" s="1"/>
      <c r="AC29" s="1"/>
      <c r="AD29" s="55"/>
      <c r="AE29" s="1"/>
      <c r="AF29" s="1"/>
      <c r="AG29" s="1"/>
    </row>
    <row r="30" spans="1:33" ht="22.5" customHeight="1">
      <c r="A30" s="52" t="s">
        <v>169</v>
      </c>
      <c r="B30" s="1"/>
      <c r="C30" s="1"/>
      <c r="D30" s="1"/>
      <c r="E30" s="1"/>
      <c r="F30" s="1"/>
      <c r="G30" s="1"/>
      <c r="H30" s="1"/>
      <c r="I30" s="1"/>
      <c r="J30" s="1"/>
      <c r="K30" s="63"/>
      <c r="L30" s="1">
        <f t="shared" si="0"/>
        <v>0</v>
      </c>
      <c r="M30" s="1"/>
      <c r="N30" s="1">
        <v>420</v>
      </c>
      <c r="O30" s="55"/>
      <c r="P30" s="55"/>
      <c r="Q30" s="55"/>
      <c r="R30" s="55"/>
      <c r="S30" s="55"/>
      <c r="T30" s="55"/>
      <c r="U30" s="55"/>
      <c r="V30" s="55"/>
      <c r="W30" s="1"/>
      <c r="X30" s="1"/>
      <c r="Y30" s="55"/>
      <c r="Z30" s="55"/>
      <c r="AA30" s="55"/>
      <c r="AB30" s="1"/>
      <c r="AC30" s="1"/>
      <c r="AD30" s="55"/>
      <c r="AE30" s="1"/>
      <c r="AF30" s="1"/>
      <c r="AG30" s="1"/>
    </row>
    <row r="31" spans="1:33" ht="22.5" customHeight="1">
      <c r="A31" s="52" t="s">
        <v>170</v>
      </c>
      <c r="B31" s="1"/>
      <c r="C31" s="1"/>
      <c r="D31" s="1"/>
      <c r="E31" s="1"/>
      <c r="F31" s="1"/>
      <c r="G31" s="1"/>
      <c r="H31" s="1"/>
      <c r="I31" s="1"/>
      <c r="J31" s="1"/>
      <c r="K31" s="63"/>
      <c r="L31" s="1">
        <f t="shared" si="0"/>
        <v>0</v>
      </c>
      <c r="M31" s="1"/>
      <c r="N31" s="1">
        <v>476</v>
      </c>
      <c r="O31" s="55"/>
      <c r="P31" s="55"/>
      <c r="Q31" s="55"/>
      <c r="R31" s="55"/>
      <c r="S31" s="55"/>
      <c r="T31" s="55"/>
      <c r="U31" s="55"/>
      <c r="V31" s="55"/>
      <c r="W31" s="1"/>
      <c r="X31" s="1"/>
      <c r="Y31" s="55"/>
      <c r="Z31" s="55"/>
      <c r="AA31" s="55"/>
      <c r="AB31" s="1"/>
      <c r="AC31" s="1"/>
      <c r="AD31" s="55"/>
      <c r="AE31" s="1"/>
      <c r="AF31" s="1"/>
      <c r="AG31" s="1"/>
    </row>
    <row r="32" spans="1:33" ht="22.5" customHeight="1">
      <c r="A32" s="52" t="s">
        <v>171</v>
      </c>
      <c r="B32" s="1"/>
      <c r="C32" s="1"/>
      <c r="D32" s="1"/>
      <c r="E32" s="1"/>
      <c r="F32" s="1"/>
      <c r="G32" s="1"/>
      <c r="H32" s="1"/>
      <c r="I32" s="1"/>
      <c r="J32" s="1"/>
      <c r="K32" s="63"/>
      <c r="L32" s="1">
        <f t="shared" si="0"/>
        <v>0</v>
      </c>
      <c r="M32" s="1"/>
      <c r="N32" s="1">
        <v>576</v>
      </c>
      <c r="O32" s="55"/>
      <c r="P32" s="55"/>
      <c r="Q32" s="55"/>
      <c r="R32" s="55"/>
      <c r="S32" s="55"/>
      <c r="T32" s="55"/>
      <c r="U32" s="55"/>
      <c r="V32" s="55"/>
      <c r="W32" s="1"/>
      <c r="X32" s="1"/>
      <c r="Y32" s="55"/>
      <c r="Z32" s="55"/>
      <c r="AA32" s="55"/>
      <c r="AB32" s="1"/>
      <c r="AC32" s="1"/>
      <c r="AD32" s="55"/>
      <c r="AE32" s="1"/>
      <c r="AF32" s="1"/>
      <c r="AG32" s="1"/>
    </row>
    <row r="33" spans="1:33" ht="22.5" customHeight="1">
      <c r="A33" s="52" t="s">
        <v>172</v>
      </c>
      <c r="B33" s="1"/>
      <c r="C33" s="1"/>
      <c r="D33" s="1"/>
      <c r="E33" s="1"/>
      <c r="F33" s="1"/>
      <c r="G33" s="1"/>
      <c r="H33" s="1"/>
      <c r="I33" s="1"/>
      <c r="J33" s="1"/>
      <c r="K33" s="63"/>
      <c r="L33" s="1">
        <f t="shared" si="0"/>
        <v>0</v>
      </c>
      <c r="M33" s="1"/>
      <c r="N33" s="1">
        <v>284</v>
      </c>
      <c r="O33" s="55"/>
      <c r="P33" s="55"/>
      <c r="Q33" s="55"/>
      <c r="R33" s="55"/>
      <c r="S33" s="55"/>
      <c r="T33" s="55"/>
      <c r="U33" s="55"/>
      <c r="V33" s="55"/>
      <c r="W33" s="1"/>
      <c r="X33" s="1"/>
      <c r="Y33" s="55"/>
      <c r="Z33" s="55"/>
      <c r="AA33" s="55"/>
      <c r="AB33" s="1"/>
      <c r="AC33" s="1"/>
      <c r="AD33" s="55"/>
      <c r="AE33" s="1"/>
      <c r="AF33" s="1"/>
      <c r="AG33" s="1"/>
    </row>
    <row r="34" spans="1:33" ht="22.5" customHeight="1">
      <c r="A34" s="52" t="s">
        <v>173</v>
      </c>
      <c r="B34" s="1"/>
      <c r="C34" s="1"/>
      <c r="D34" s="1"/>
      <c r="E34" s="1"/>
      <c r="F34" s="1"/>
      <c r="G34" s="1"/>
      <c r="H34" s="1"/>
      <c r="I34" s="1"/>
      <c r="J34" s="1"/>
      <c r="K34" s="63"/>
      <c r="L34" s="1">
        <f t="shared" si="0"/>
        <v>0</v>
      </c>
      <c r="M34" s="1"/>
      <c r="N34" s="1">
        <v>408</v>
      </c>
      <c r="O34" s="55"/>
      <c r="P34" s="55"/>
      <c r="Q34" s="55"/>
      <c r="R34" s="55"/>
      <c r="S34" s="55"/>
      <c r="T34" s="55"/>
      <c r="U34" s="55"/>
      <c r="V34" s="55"/>
      <c r="W34" s="1"/>
      <c r="X34" s="1"/>
      <c r="Y34" s="55"/>
      <c r="Z34" s="55"/>
      <c r="AA34" s="55"/>
      <c r="AB34" s="1"/>
      <c r="AC34" s="1"/>
      <c r="AD34" s="55"/>
      <c r="AE34" s="1"/>
      <c r="AF34" s="1"/>
      <c r="AG34" s="1"/>
    </row>
    <row r="35" spans="1:33" ht="22.5" customHeight="1">
      <c r="A35" s="52" t="s">
        <v>174</v>
      </c>
      <c r="B35" s="1"/>
      <c r="C35" s="1"/>
      <c r="D35" s="1"/>
      <c r="E35" s="1"/>
      <c r="F35" s="1"/>
      <c r="G35" s="1"/>
      <c r="H35" s="1"/>
      <c r="I35" s="1"/>
      <c r="J35" s="1"/>
      <c r="K35" s="63"/>
      <c r="L35" s="1">
        <f t="shared" si="0"/>
        <v>0</v>
      </c>
      <c r="M35" s="1"/>
      <c r="N35" s="1">
        <v>480</v>
      </c>
      <c r="O35" s="55"/>
      <c r="P35" s="55"/>
      <c r="Q35" s="55"/>
      <c r="R35" s="55"/>
      <c r="S35" s="55"/>
      <c r="T35" s="55"/>
      <c r="U35" s="55"/>
      <c r="V35" s="55"/>
      <c r="W35" s="1"/>
      <c r="X35" s="1"/>
      <c r="Y35" s="55"/>
      <c r="Z35" s="55"/>
      <c r="AA35" s="55"/>
      <c r="AB35" s="1"/>
      <c r="AC35" s="1"/>
      <c r="AD35" s="55"/>
      <c r="AE35" s="1"/>
      <c r="AF35" s="1"/>
      <c r="AG35" s="1"/>
    </row>
    <row r="36" spans="1:33" ht="22.5" customHeight="1">
      <c r="A36" s="52" t="s">
        <v>175</v>
      </c>
      <c r="B36" s="1"/>
      <c r="C36" s="1"/>
      <c r="D36" s="1"/>
      <c r="E36" s="1"/>
      <c r="F36" s="1"/>
      <c r="G36" s="1"/>
      <c r="H36" s="1"/>
      <c r="I36" s="1"/>
      <c r="J36" s="1"/>
      <c r="K36" s="63"/>
      <c r="L36" s="1">
        <f t="shared" si="0"/>
        <v>0</v>
      </c>
      <c r="M36" s="1"/>
      <c r="N36" s="1">
        <v>432</v>
      </c>
      <c r="O36" s="55"/>
      <c r="P36" s="55"/>
      <c r="Q36" s="55"/>
      <c r="R36" s="55"/>
      <c r="S36" s="55"/>
      <c r="T36" s="55"/>
      <c r="U36" s="55"/>
      <c r="V36" s="55"/>
      <c r="W36" s="1"/>
      <c r="X36" s="1"/>
      <c r="Y36" s="55"/>
      <c r="Z36" s="55"/>
      <c r="AA36" s="55"/>
      <c r="AB36" s="1"/>
      <c r="AC36" s="1"/>
      <c r="AD36" s="55"/>
      <c r="AE36" s="1"/>
      <c r="AF36" s="1"/>
      <c r="AG36" s="1"/>
    </row>
    <row r="37" spans="1:33" ht="22.5" customHeight="1">
      <c r="A37" s="52" t="s">
        <v>176</v>
      </c>
      <c r="B37" s="1"/>
      <c r="C37" s="1"/>
      <c r="D37" s="1"/>
      <c r="E37" s="1"/>
      <c r="F37" s="1"/>
      <c r="G37" s="1"/>
      <c r="H37" s="1"/>
      <c r="I37" s="1"/>
      <c r="J37" s="1"/>
      <c r="K37" s="63"/>
      <c r="L37" s="1">
        <f t="shared" si="0"/>
        <v>0</v>
      </c>
      <c r="M37" s="1"/>
      <c r="N37" s="1">
        <v>280</v>
      </c>
      <c r="O37" s="55"/>
      <c r="P37" s="55"/>
      <c r="Q37" s="55"/>
      <c r="R37" s="55"/>
      <c r="S37" s="55"/>
      <c r="T37" s="55"/>
      <c r="U37" s="55"/>
      <c r="V37" s="55"/>
      <c r="W37" s="1"/>
      <c r="X37" s="1"/>
      <c r="Y37" s="55"/>
      <c r="Z37" s="55"/>
      <c r="AA37" s="55"/>
      <c r="AB37" s="1"/>
      <c r="AC37" s="1"/>
      <c r="AD37" s="55"/>
      <c r="AE37" s="1"/>
      <c r="AF37" s="1"/>
      <c r="AG37" s="1"/>
    </row>
    <row r="38" spans="1:33" ht="22.5" customHeight="1">
      <c r="A38" s="52" t="s">
        <v>177</v>
      </c>
      <c r="B38" s="1"/>
      <c r="C38" s="1"/>
      <c r="D38" s="1"/>
      <c r="E38" s="1"/>
      <c r="F38" s="1"/>
      <c r="G38" s="1"/>
      <c r="H38" s="1"/>
      <c r="I38" s="1"/>
      <c r="J38" s="1"/>
      <c r="K38" s="63"/>
      <c r="L38" s="1">
        <f t="shared" si="0"/>
        <v>0</v>
      </c>
      <c r="M38" s="1"/>
      <c r="N38" s="1">
        <v>274</v>
      </c>
      <c r="O38" s="55"/>
      <c r="P38" s="55"/>
      <c r="Q38" s="55"/>
      <c r="R38" s="55"/>
      <c r="S38" s="55"/>
      <c r="T38" s="55"/>
      <c r="U38" s="55"/>
      <c r="V38" s="55"/>
      <c r="W38" s="1"/>
      <c r="X38" s="1"/>
      <c r="Y38" s="55"/>
      <c r="Z38" s="55"/>
      <c r="AA38" s="55"/>
      <c r="AB38" s="1"/>
      <c r="AC38" s="1"/>
      <c r="AD38" s="55"/>
      <c r="AE38" s="1"/>
      <c r="AF38" s="1"/>
      <c r="AG38" s="1"/>
    </row>
    <row r="39" spans="1:33" ht="22.5" customHeight="1">
      <c r="A39" s="52" t="s">
        <v>178</v>
      </c>
      <c r="B39" s="1"/>
      <c r="C39" s="1"/>
      <c r="D39" s="1"/>
      <c r="E39" s="1"/>
      <c r="F39" s="1"/>
      <c r="G39" s="1"/>
      <c r="H39" s="1"/>
      <c r="I39" s="1"/>
      <c r="J39" s="1"/>
      <c r="K39" s="63"/>
      <c r="L39" s="1">
        <f t="shared" si="0"/>
        <v>0</v>
      </c>
      <c r="M39" s="1"/>
      <c r="N39" s="1">
        <v>400</v>
      </c>
      <c r="O39" s="55"/>
      <c r="P39" s="55"/>
      <c r="Q39" s="55"/>
      <c r="R39" s="55"/>
      <c r="S39" s="55"/>
      <c r="T39" s="55"/>
      <c r="U39" s="55"/>
      <c r="V39" s="55"/>
      <c r="W39" s="1"/>
      <c r="X39" s="1"/>
      <c r="Y39" s="55"/>
      <c r="Z39" s="55"/>
      <c r="AA39" s="55"/>
      <c r="AB39" s="1"/>
      <c r="AC39" s="1"/>
      <c r="AD39" s="55"/>
      <c r="AE39" s="1"/>
      <c r="AF39" s="1"/>
      <c r="AG39" s="1"/>
    </row>
    <row r="40" spans="1:33" ht="22.5" customHeight="1">
      <c r="A40" s="52" t="s">
        <v>179</v>
      </c>
      <c r="B40" s="1"/>
      <c r="C40" s="1"/>
      <c r="D40" s="1"/>
      <c r="E40" s="1"/>
      <c r="F40" s="1"/>
      <c r="G40" s="1"/>
      <c r="H40" s="1"/>
      <c r="I40" s="1"/>
      <c r="J40" s="1"/>
      <c r="K40" s="63"/>
      <c r="L40" s="1">
        <f t="shared" si="0"/>
        <v>0</v>
      </c>
      <c r="M40" s="1"/>
      <c r="N40" s="1">
        <v>126</v>
      </c>
      <c r="O40" s="55"/>
      <c r="P40" s="55"/>
      <c r="Q40" s="55"/>
      <c r="R40" s="55"/>
      <c r="S40" s="55"/>
      <c r="T40" s="55"/>
      <c r="U40" s="55"/>
      <c r="V40" s="55"/>
      <c r="W40" s="1"/>
      <c r="X40" s="1"/>
      <c r="Y40" s="55"/>
      <c r="Z40" s="55"/>
      <c r="AA40" s="55"/>
      <c r="AB40" s="1"/>
      <c r="AC40" s="1"/>
      <c r="AD40" s="55"/>
      <c r="AE40" s="1"/>
      <c r="AF40" s="1"/>
      <c r="AG40" s="1"/>
    </row>
    <row r="41" spans="1:33" ht="22.5" customHeight="1">
      <c r="A41" s="52" t="s">
        <v>180</v>
      </c>
      <c r="B41" s="1"/>
      <c r="C41" s="1"/>
      <c r="D41" s="1"/>
      <c r="E41" s="1"/>
      <c r="F41" s="1"/>
      <c r="G41" s="1"/>
      <c r="H41" s="1"/>
      <c r="I41" s="1"/>
      <c r="J41" s="1"/>
      <c r="K41" s="63"/>
      <c r="L41" s="1">
        <f t="shared" si="0"/>
        <v>0</v>
      </c>
      <c r="M41" s="1"/>
      <c r="N41" s="1">
        <v>628</v>
      </c>
      <c r="O41" s="55"/>
      <c r="P41" s="55"/>
      <c r="Q41" s="55"/>
      <c r="R41" s="55"/>
      <c r="S41" s="55"/>
      <c r="T41" s="55"/>
      <c r="U41" s="55"/>
      <c r="V41" s="55"/>
      <c r="W41" s="1"/>
      <c r="X41" s="1"/>
      <c r="Y41" s="55"/>
      <c r="Z41" s="55"/>
      <c r="AA41" s="55"/>
      <c r="AB41" s="1"/>
      <c r="AC41" s="1"/>
      <c r="AD41" s="55"/>
      <c r="AE41" s="1"/>
      <c r="AF41" s="1"/>
      <c r="AG41" s="1"/>
    </row>
    <row r="42" spans="1:33" ht="22.5" customHeight="1">
      <c r="A42" s="52" t="s">
        <v>181</v>
      </c>
      <c r="B42" s="1"/>
      <c r="C42" s="1"/>
      <c r="D42" s="1"/>
      <c r="E42" s="1"/>
      <c r="F42" s="1"/>
      <c r="G42" s="1"/>
      <c r="H42" s="1"/>
      <c r="I42" s="1"/>
      <c r="J42" s="1"/>
      <c r="K42" s="63"/>
      <c r="L42" s="1">
        <f t="shared" si="0"/>
        <v>0</v>
      </c>
      <c r="M42" s="1"/>
      <c r="N42" s="1">
        <v>436</v>
      </c>
      <c r="O42" s="55"/>
      <c r="P42" s="55"/>
      <c r="Q42" s="55"/>
      <c r="R42" s="55"/>
      <c r="S42" s="55"/>
      <c r="T42" s="55"/>
      <c r="U42" s="55"/>
      <c r="V42" s="55"/>
      <c r="W42" s="1"/>
      <c r="X42" s="1"/>
      <c r="Y42" s="55"/>
      <c r="Z42" s="55"/>
      <c r="AA42" s="55"/>
      <c r="AB42" s="1"/>
      <c r="AC42" s="1"/>
      <c r="AD42" s="55"/>
      <c r="AE42" s="1"/>
      <c r="AF42" s="1"/>
      <c r="AG42" s="1"/>
    </row>
    <row r="43" spans="1:33" ht="22.5" customHeight="1">
      <c r="A43" s="52" t="s">
        <v>182</v>
      </c>
      <c r="B43" s="1"/>
      <c r="C43" s="1"/>
      <c r="D43" s="1"/>
      <c r="E43" s="1"/>
      <c r="F43" s="1"/>
      <c r="G43" s="1"/>
      <c r="H43" s="1"/>
      <c r="I43" s="1"/>
      <c r="J43" s="1"/>
      <c r="K43" s="63"/>
      <c r="L43" s="1">
        <f t="shared" si="0"/>
        <v>0</v>
      </c>
      <c r="M43" s="1"/>
      <c r="N43" s="1">
        <v>260</v>
      </c>
      <c r="O43" s="55"/>
      <c r="P43" s="55"/>
      <c r="Q43" s="55"/>
      <c r="R43" s="55"/>
      <c r="S43" s="55"/>
      <c r="T43" s="55"/>
      <c r="U43" s="55"/>
      <c r="V43" s="55"/>
      <c r="W43" s="1"/>
      <c r="X43" s="1"/>
      <c r="Y43" s="55"/>
      <c r="Z43" s="55"/>
      <c r="AA43" s="55"/>
      <c r="AB43" s="1"/>
      <c r="AC43" s="1"/>
      <c r="AD43" s="55"/>
      <c r="AE43" s="1"/>
      <c r="AF43" s="1"/>
      <c r="AG43" s="1"/>
    </row>
    <row r="44" spans="1:33" ht="22.5" customHeight="1">
      <c r="A44" s="52" t="s">
        <v>183</v>
      </c>
      <c r="B44" s="1"/>
      <c r="C44" s="1"/>
      <c r="D44" s="1"/>
      <c r="E44" s="1"/>
      <c r="F44" s="1"/>
      <c r="G44" s="1"/>
      <c r="H44" s="1"/>
      <c r="I44" s="1"/>
      <c r="J44" s="1"/>
      <c r="K44" s="63"/>
      <c r="L44" s="1">
        <f t="shared" si="0"/>
        <v>0</v>
      </c>
      <c r="M44" s="1"/>
      <c r="N44" s="1">
        <v>408</v>
      </c>
      <c r="O44" s="55"/>
      <c r="P44" s="55"/>
      <c r="Q44" s="55"/>
      <c r="R44" s="55"/>
      <c r="S44" s="55"/>
      <c r="T44" s="55"/>
      <c r="U44" s="55"/>
      <c r="V44" s="55"/>
      <c r="W44" s="1"/>
      <c r="X44" s="1"/>
      <c r="Y44" s="55"/>
      <c r="Z44" s="55"/>
      <c r="AA44" s="55"/>
      <c r="AB44" s="1"/>
      <c r="AC44" s="1"/>
      <c r="AD44" s="55"/>
      <c r="AE44" s="1"/>
      <c r="AF44" s="1"/>
      <c r="AG44" s="1"/>
    </row>
    <row r="45" spans="1:33" ht="22.5" customHeight="1">
      <c r="A45" s="52" t="s">
        <v>184</v>
      </c>
      <c r="B45" s="1"/>
      <c r="C45" s="1"/>
      <c r="D45" s="1"/>
      <c r="E45" s="1"/>
      <c r="F45" s="1"/>
      <c r="G45" s="1"/>
      <c r="H45" s="1"/>
      <c r="I45" s="1"/>
      <c r="J45" s="1"/>
      <c r="K45" s="63"/>
      <c r="L45" s="1">
        <f t="shared" si="0"/>
        <v>0</v>
      </c>
      <c r="M45" s="1"/>
      <c r="N45" s="1">
        <v>234</v>
      </c>
      <c r="O45" s="55"/>
      <c r="P45" s="55"/>
      <c r="Q45" s="55"/>
      <c r="R45" s="55"/>
      <c r="S45" s="55"/>
      <c r="T45" s="55"/>
      <c r="U45" s="55"/>
      <c r="V45" s="55"/>
      <c r="W45" s="1"/>
      <c r="X45" s="1"/>
      <c r="Y45" s="55"/>
      <c r="Z45" s="55"/>
      <c r="AA45" s="55"/>
      <c r="AB45" s="1"/>
      <c r="AC45" s="1"/>
      <c r="AD45" s="55"/>
      <c r="AE45" s="1"/>
      <c r="AF45" s="1"/>
      <c r="AG45" s="1"/>
    </row>
    <row r="46" spans="1:33" ht="22.5" customHeight="1">
      <c r="A46" s="52" t="s">
        <v>185</v>
      </c>
      <c r="B46" s="1"/>
      <c r="C46" s="1"/>
      <c r="D46" s="1"/>
      <c r="E46" s="1"/>
      <c r="F46" s="1"/>
      <c r="G46" s="1"/>
      <c r="H46" s="1"/>
      <c r="I46" s="1"/>
      <c r="J46" s="1"/>
      <c r="K46" s="63"/>
      <c r="L46" s="1">
        <f t="shared" si="0"/>
        <v>0</v>
      </c>
      <c r="M46" s="1"/>
      <c r="N46" s="1">
        <v>384</v>
      </c>
      <c r="O46" s="55"/>
      <c r="P46" s="55"/>
      <c r="Q46" s="55"/>
      <c r="R46" s="55"/>
      <c r="S46" s="55"/>
      <c r="T46" s="55"/>
      <c r="U46" s="55"/>
      <c r="V46" s="55"/>
      <c r="W46" s="1"/>
      <c r="X46" s="1"/>
      <c r="Y46" s="55"/>
      <c r="Z46" s="55"/>
      <c r="AA46" s="55"/>
      <c r="AB46" s="1"/>
      <c r="AC46" s="1"/>
      <c r="AD46" s="55"/>
      <c r="AE46" s="1"/>
      <c r="AF46" s="1"/>
      <c r="AG46" s="1"/>
    </row>
    <row r="47" spans="1:33" ht="22.5" customHeight="1">
      <c r="A47" s="52" t="s">
        <v>186</v>
      </c>
      <c r="B47" s="1"/>
      <c r="C47" s="1"/>
      <c r="D47" s="1"/>
      <c r="E47" s="1"/>
      <c r="F47" s="1"/>
      <c r="G47" s="1"/>
      <c r="H47" s="1"/>
      <c r="I47" s="1"/>
      <c r="J47" s="1"/>
      <c r="K47" s="63"/>
      <c r="L47" s="1">
        <f t="shared" si="0"/>
        <v>0</v>
      </c>
      <c r="M47" s="1"/>
      <c r="N47" s="1">
        <v>618</v>
      </c>
      <c r="O47" s="55"/>
      <c r="P47" s="55"/>
      <c r="Q47" s="55"/>
      <c r="R47" s="55"/>
      <c r="S47" s="55"/>
      <c r="T47" s="55"/>
      <c r="U47" s="55"/>
      <c r="V47" s="55"/>
      <c r="W47" s="1"/>
      <c r="X47" s="1"/>
      <c r="Y47" s="55"/>
      <c r="Z47" s="55"/>
      <c r="AA47" s="55"/>
      <c r="AB47" s="1"/>
      <c r="AC47" s="1"/>
      <c r="AD47" s="55"/>
      <c r="AE47" s="1"/>
      <c r="AF47" s="1"/>
      <c r="AG47" s="1"/>
    </row>
    <row r="48" spans="1:33" ht="22.5" customHeight="1">
      <c r="A48" s="52" t="s">
        <v>187</v>
      </c>
      <c r="B48" s="1"/>
      <c r="C48" s="1"/>
      <c r="D48" s="1"/>
      <c r="E48" s="1"/>
      <c r="F48" s="1"/>
      <c r="G48" s="1"/>
      <c r="H48" s="1"/>
      <c r="I48" s="1"/>
      <c r="J48" s="1"/>
      <c r="K48" s="63"/>
      <c r="L48" s="1">
        <f t="shared" si="0"/>
        <v>0</v>
      </c>
      <c r="M48" s="1"/>
      <c r="N48" s="1">
        <v>352</v>
      </c>
      <c r="O48" s="55"/>
      <c r="P48" s="55"/>
      <c r="Q48" s="55"/>
      <c r="R48" s="55"/>
      <c r="S48" s="55"/>
      <c r="T48" s="55"/>
      <c r="U48" s="55"/>
      <c r="V48" s="55"/>
      <c r="W48" s="1"/>
      <c r="X48" s="1"/>
      <c r="Y48" s="55"/>
      <c r="Z48" s="55"/>
      <c r="AA48" s="55"/>
      <c r="AB48" s="1"/>
      <c r="AC48" s="1"/>
      <c r="AD48" s="55"/>
      <c r="AE48" s="1"/>
      <c r="AF48" s="1"/>
      <c r="AG48" s="1"/>
    </row>
    <row r="49" spans="1:33" ht="22.5" customHeight="1">
      <c r="A49" s="52" t="s">
        <v>188</v>
      </c>
      <c r="B49" s="1"/>
      <c r="C49" s="1"/>
      <c r="D49" s="1"/>
      <c r="E49" s="1"/>
      <c r="F49" s="1"/>
      <c r="G49" s="1"/>
      <c r="H49" s="1"/>
      <c r="I49" s="1"/>
      <c r="J49" s="1"/>
      <c r="K49" s="63"/>
      <c r="L49" s="1">
        <f t="shared" si="0"/>
        <v>0</v>
      </c>
      <c r="M49" s="1"/>
      <c r="N49" s="1">
        <v>413</v>
      </c>
      <c r="O49" s="55"/>
      <c r="P49" s="55"/>
      <c r="Q49" s="55"/>
      <c r="R49" s="55"/>
      <c r="S49" s="55"/>
      <c r="T49" s="55"/>
      <c r="U49" s="55"/>
      <c r="V49" s="55"/>
      <c r="W49" s="1"/>
      <c r="X49" s="1"/>
      <c r="Y49" s="55"/>
      <c r="Z49" s="55"/>
      <c r="AA49" s="55"/>
      <c r="AB49" s="1"/>
      <c r="AC49" s="1"/>
      <c r="AD49" s="55"/>
      <c r="AE49" s="1"/>
      <c r="AF49" s="1"/>
      <c r="AG49" s="1"/>
    </row>
    <row r="50" spans="1:33" ht="22.5" customHeight="1">
      <c r="A50" s="52" t="s">
        <v>189</v>
      </c>
      <c r="B50" s="1"/>
      <c r="C50" s="1"/>
      <c r="D50" s="1"/>
      <c r="E50" s="1"/>
      <c r="F50" s="1"/>
      <c r="G50" s="1"/>
      <c r="H50" s="1"/>
      <c r="I50" s="1"/>
      <c r="J50" s="1"/>
      <c r="K50" s="63"/>
      <c r="L50" s="1">
        <f t="shared" si="0"/>
        <v>0</v>
      </c>
      <c r="M50" s="1"/>
      <c r="N50" s="1">
        <v>304</v>
      </c>
      <c r="O50" s="55"/>
      <c r="P50" s="55"/>
      <c r="Q50" s="55"/>
      <c r="R50" s="55"/>
      <c r="S50" s="55"/>
      <c r="T50" s="55"/>
      <c r="U50" s="55"/>
      <c r="V50" s="55"/>
      <c r="W50" s="1"/>
      <c r="X50" s="1"/>
      <c r="Y50" s="55"/>
      <c r="Z50" s="55"/>
      <c r="AA50" s="55"/>
      <c r="AB50" s="1"/>
      <c r="AC50" s="1"/>
      <c r="AD50" s="55"/>
      <c r="AE50" s="1"/>
      <c r="AF50" s="1"/>
      <c r="AG50" s="1"/>
    </row>
    <row r="51" spans="1:33" ht="22.5" customHeight="1">
      <c r="A51" s="52" t="s">
        <v>190</v>
      </c>
      <c r="B51" s="1"/>
      <c r="C51" s="1"/>
      <c r="D51" s="1"/>
      <c r="E51" s="1"/>
      <c r="F51" s="1"/>
      <c r="G51" s="1"/>
      <c r="H51" s="1"/>
      <c r="I51" s="1"/>
      <c r="J51" s="1"/>
      <c r="K51" s="63"/>
      <c r="L51" s="1">
        <f t="shared" si="0"/>
        <v>0</v>
      </c>
      <c r="M51" s="1"/>
      <c r="N51" s="1">
        <v>694</v>
      </c>
      <c r="O51" s="55"/>
      <c r="P51" s="55"/>
      <c r="Q51" s="55"/>
      <c r="R51" s="55"/>
      <c r="S51" s="55"/>
      <c r="T51" s="55"/>
      <c r="U51" s="55"/>
      <c r="V51" s="55"/>
      <c r="W51" s="1"/>
      <c r="X51" s="1"/>
      <c r="Y51" s="55"/>
      <c r="Z51" s="55"/>
      <c r="AA51" s="55"/>
      <c r="AB51" s="1"/>
      <c r="AC51" s="1"/>
      <c r="AD51" s="55"/>
      <c r="AE51" s="1"/>
      <c r="AF51" s="1"/>
      <c r="AG51" s="1"/>
    </row>
    <row r="52" spans="1:33" ht="22.5" customHeight="1">
      <c r="A52" s="52" t="s">
        <v>191</v>
      </c>
      <c r="B52" s="1"/>
      <c r="C52" s="1"/>
      <c r="D52" s="1"/>
      <c r="E52" s="1"/>
      <c r="F52" s="1"/>
      <c r="G52" s="1"/>
      <c r="H52" s="1"/>
      <c r="I52" s="1"/>
      <c r="J52" s="1"/>
      <c r="K52" s="63"/>
      <c r="L52" s="1">
        <f t="shared" si="0"/>
        <v>0</v>
      </c>
      <c r="M52" s="1"/>
      <c r="N52" s="1">
        <v>416</v>
      </c>
      <c r="O52" s="55"/>
      <c r="P52" s="55"/>
      <c r="Q52" s="55"/>
      <c r="R52" s="55"/>
      <c r="S52" s="55"/>
      <c r="T52" s="55"/>
      <c r="U52" s="55"/>
      <c r="V52" s="55"/>
      <c r="W52" s="1"/>
      <c r="X52" s="1"/>
      <c r="Y52" s="55"/>
      <c r="Z52" s="55"/>
      <c r="AA52" s="55"/>
      <c r="AB52" s="1"/>
      <c r="AC52" s="1"/>
      <c r="AD52" s="55"/>
      <c r="AE52" s="1"/>
      <c r="AF52" s="1"/>
      <c r="AG52" s="1"/>
    </row>
    <row r="53" spans="1:33" ht="22.5" customHeight="1">
      <c r="A53" s="52" t="s">
        <v>192</v>
      </c>
      <c r="B53" s="1"/>
      <c r="C53" s="1"/>
      <c r="D53" s="1"/>
      <c r="E53" s="1"/>
      <c r="F53" s="1"/>
      <c r="G53" s="1"/>
      <c r="H53" s="1"/>
      <c r="I53" s="1"/>
      <c r="J53" s="1"/>
      <c r="K53" s="63"/>
      <c r="L53" s="1">
        <f t="shared" si="0"/>
        <v>0</v>
      </c>
      <c r="M53" s="1"/>
      <c r="N53" s="1">
        <v>562</v>
      </c>
      <c r="O53" s="55"/>
      <c r="P53" s="55"/>
      <c r="Q53" s="55"/>
      <c r="R53" s="55"/>
      <c r="S53" s="55"/>
      <c r="T53" s="55"/>
      <c r="U53" s="55"/>
      <c r="V53" s="55"/>
      <c r="W53" s="1"/>
      <c r="X53" s="1"/>
      <c r="Y53" s="55"/>
      <c r="Z53" s="55"/>
      <c r="AA53" s="55"/>
      <c r="AB53" s="1"/>
      <c r="AC53" s="1"/>
      <c r="AD53" s="55"/>
      <c r="AE53" s="1"/>
      <c r="AF53" s="1"/>
      <c r="AG53" s="1"/>
    </row>
    <row r="54" spans="1:33" ht="22.5" customHeight="1">
      <c r="A54" s="52" t="s">
        <v>193</v>
      </c>
      <c r="B54" s="1"/>
      <c r="C54" s="1"/>
      <c r="D54" s="1"/>
      <c r="E54" s="1"/>
      <c r="F54" s="1"/>
      <c r="G54" s="1"/>
      <c r="H54" s="1"/>
      <c r="I54" s="1"/>
      <c r="J54" s="1"/>
      <c r="K54" s="63"/>
      <c r="L54" s="1">
        <f t="shared" si="0"/>
        <v>0</v>
      </c>
      <c r="M54" s="1"/>
      <c r="N54" s="1">
        <v>332</v>
      </c>
      <c r="O54" s="55"/>
      <c r="P54" s="55"/>
      <c r="Q54" s="55"/>
      <c r="R54" s="55"/>
      <c r="S54" s="55"/>
      <c r="T54" s="55"/>
      <c r="U54" s="55"/>
      <c r="V54" s="55"/>
      <c r="W54" s="1"/>
      <c r="X54" s="1"/>
      <c r="Y54" s="55"/>
      <c r="Z54" s="55"/>
      <c r="AA54" s="55"/>
      <c r="AB54" s="1"/>
      <c r="AC54" s="1"/>
      <c r="AD54" s="55"/>
      <c r="AE54" s="1"/>
      <c r="AF54" s="1"/>
      <c r="AG54" s="1"/>
    </row>
    <row r="55" spans="1:33" ht="22.5" customHeight="1">
      <c r="A55" s="52" t="s">
        <v>194</v>
      </c>
      <c r="B55" s="1"/>
      <c r="C55" s="1"/>
      <c r="D55" s="1"/>
      <c r="E55" s="1"/>
      <c r="F55" s="1"/>
      <c r="G55" s="1"/>
      <c r="H55" s="1"/>
      <c r="I55" s="1"/>
      <c r="J55" s="1"/>
      <c r="K55" s="63"/>
      <c r="L55" s="1">
        <f t="shared" si="0"/>
        <v>0</v>
      </c>
      <c r="M55" s="1"/>
      <c r="N55" s="1">
        <v>244</v>
      </c>
      <c r="O55" s="55"/>
      <c r="P55" s="55"/>
      <c r="Q55" s="55"/>
      <c r="R55" s="55"/>
      <c r="S55" s="55"/>
      <c r="T55" s="55"/>
      <c r="U55" s="55"/>
      <c r="V55" s="55"/>
      <c r="W55" s="1"/>
      <c r="X55" s="1"/>
      <c r="Y55" s="55"/>
      <c r="Z55" s="55"/>
      <c r="AA55" s="55"/>
      <c r="AB55" s="1"/>
      <c r="AC55" s="1"/>
      <c r="AD55" s="55"/>
      <c r="AE55" s="1"/>
      <c r="AF55" s="1"/>
      <c r="AG55" s="1"/>
    </row>
    <row r="56" spans="1:33" ht="22.5" customHeight="1">
      <c r="A56" s="52" t="s">
        <v>195</v>
      </c>
      <c r="B56" s="1"/>
      <c r="C56" s="1"/>
      <c r="D56" s="1"/>
      <c r="E56" s="1"/>
      <c r="F56" s="1"/>
      <c r="G56" s="1"/>
      <c r="H56" s="1"/>
      <c r="I56" s="1"/>
      <c r="J56" s="1"/>
      <c r="K56" s="63"/>
      <c r="L56" s="1">
        <f t="shared" si="0"/>
        <v>0</v>
      </c>
      <c r="M56" s="1"/>
      <c r="N56" s="1">
        <v>616</v>
      </c>
      <c r="O56" s="55"/>
      <c r="P56" s="55"/>
      <c r="Q56" s="55"/>
      <c r="R56" s="55"/>
      <c r="S56" s="55"/>
      <c r="T56" s="55"/>
      <c r="U56" s="55"/>
      <c r="V56" s="55"/>
      <c r="W56" s="1"/>
      <c r="X56" s="1"/>
      <c r="Y56" s="55"/>
      <c r="Z56" s="55"/>
      <c r="AA56" s="55"/>
      <c r="AB56" s="1"/>
      <c r="AC56" s="1"/>
      <c r="AD56" s="55"/>
      <c r="AE56" s="1"/>
      <c r="AF56" s="1"/>
      <c r="AG56" s="1"/>
    </row>
    <row r="57" spans="1:33" ht="22.5" customHeight="1">
      <c r="A57" s="52" t="s">
        <v>196</v>
      </c>
      <c r="B57" s="1"/>
      <c r="C57" s="1"/>
      <c r="D57" s="1"/>
      <c r="E57" s="1"/>
      <c r="F57" s="1"/>
      <c r="G57" s="1"/>
      <c r="H57" s="1"/>
      <c r="I57" s="1"/>
      <c r="J57" s="1"/>
      <c r="K57" s="63"/>
      <c r="L57" s="1">
        <f t="shared" si="0"/>
        <v>0</v>
      </c>
      <c r="M57" s="1"/>
      <c r="N57" s="1">
        <v>412</v>
      </c>
      <c r="O57" s="55"/>
      <c r="P57" s="55"/>
      <c r="Q57" s="55"/>
      <c r="R57" s="55"/>
      <c r="S57" s="55"/>
      <c r="T57" s="55"/>
      <c r="U57" s="55"/>
      <c r="V57" s="55"/>
      <c r="W57" s="1"/>
      <c r="X57" s="1"/>
      <c r="Y57" s="55"/>
      <c r="Z57" s="55"/>
      <c r="AA57" s="55"/>
      <c r="AB57" s="1"/>
      <c r="AC57" s="1"/>
      <c r="AD57" s="55"/>
      <c r="AE57" s="1"/>
      <c r="AF57" s="1"/>
      <c r="AG57" s="1"/>
    </row>
    <row r="58" spans="1:33" ht="22.5" customHeight="1">
      <c r="A58" s="52" t="s">
        <v>197</v>
      </c>
      <c r="B58" s="1"/>
      <c r="C58" s="1"/>
      <c r="D58" s="1"/>
      <c r="E58" s="1"/>
      <c r="F58" s="1"/>
      <c r="G58" s="1"/>
      <c r="H58" s="1"/>
      <c r="I58" s="1"/>
      <c r="J58" s="1"/>
      <c r="K58" s="63"/>
      <c r="L58" s="1">
        <f t="shared" si="0"/>
        <v>0</v>
      </c>
      <c r="M58" s="1"/>
      <c r="N58" s="1">
        <v>220</v>
      </c>
      <c r="O58" s="55"/>
      <c r="P58" s="55"/>
      <c r="Q58" s="55"/>
      <c r="R58" s="55"/>
      <c r="S58" s="55"/>
      <c r="T58" s="55"/>
      <c r="U58" s="55"/>
      <c r="V58" s="55"/>
      <c r="W58" s="1"/>
      <c r="X58" s="1"/>
      <c r="Y58" s="55"/>
      <c r="Z58" s="55"/>
      <c r="AA58" s="55"/>
      <c r="AB58" s="1"/>
      <c r="AC58" s="1"/>
      <c r="AD58" s="55"/>
      <c r="AE58" s="1"/>
      <c r="AF58" s="1"/>
      <c r="AG58" s="1"/>
    </row>
    <row r="59" spans="1:33" ht="22.5" customHeight="1">
      <c r="A59" s="52" t="s">
        <v>198</v>
      </c>
      <c r="B59" s="1"/>
      <c r="C59" s="1"/>
      <c r="D59" s="1"/>
      <c r="E59" s="1"/>
      <c r="F59" s="1"/>
      <c r="G59" s="1"/>
      <c r="H59" s="1"/>
      <c r="I59" s="1"/>
      <c r="J59" s="1"/>
      <c r="K59" s="63"/>
      <c r="L59" s="1">
        <f t="shared" si="0"/>
        <v>0</v>
      </c>
      <c r="M59" s="1"/>
      <c r="N59" s="1">
        <v>184</v>
      </c>
      <c r="O59" s="55"/>
      <c r="P59" s="55"/>
      <c r="Q59" s="55"/>
      <c r="R59" s="55"/>
      <c r="S59" s="55"/>
      <c r="T59" s="55"/>
      <c r="U59" s="55"/>
      <c r="V59" s="55"/>
      <c r="W59" s="1"/>
      <c r="X59" s="1"/>
      <c r="Y59" s="55"/>
      <c r="Z59" s="55"/>
      <c r="AA59" s="55"/>
      <c r="AB59" s="1"/>
      <c r="AC59" s="1"/>
      <c r="AD59" s="55"/>
      <c r="AE59" s="1"/>
      <c r="AF59" s="1"/>
      <c r="AG59" s="1"/>
    </row>
    <row r="60" spans="1:33" ht="22.5" customHeight="1">
      <c r="A60" s="52" t="s">
        <v>199</v>
      </c>
      <c r="B60" s="1"/>
      <c r="C60" s="1"/>
      <c r="D60" s="1"/>
      <c r="E60" s="1"/>
      <c r="F60" s="1"/>
      <c r="G60" s="1"/>
      <c r="H60" s="1"/>
      <c r="I60" s="1"/>
      <c r="J60" s="1"/>
      <c r="K60" s="63"/>
      <c r="L60" s="1">
        <f t="shared" si="0"/>
        <v>0</v>
      </c>
      <c r="M60" s="1"/>
      <c r="N60" s="1">
        <v>446</v>
      </c>
      <c r="O60" s="55"/>
      <c r="P60" s="55"/>
      <c r="Q60" s="55"/>
      <c r="R60" s="55"/>
      <c r="S60" s="55"/>
      <c r="T60" s="55"/>
      <c r="U60" s="55"/>
      <c r="V60" s="55"/>
      <c r="W60" s="1"/>
      <c r="X60" s="1"/>
      <c r="Y60" s="55"/>
      <c r="Z60" s="55"/>
      <c r="AA60" s="55"/>
      <c r="AB60" s="1"/>
      <c r="AC60" s="1"/>
      <c r="AD60" s="55"/>
      <c r="AE60" s="1"/>
      <c r="AF60" s="1"/>
      <c r="AG60" s="1"/>
    </row>
    <row r="61" spans="1:33" ht="22.5" customHeight="1">
      <c r="A61" s="52" t="s">
        <v>200</v>
      </c>
      <c r="B61" s="1"/>
      <c r="C61" s="1"/>
      <c r="D61" s="1"/>
      <c r="E61" s="1"/>
      <c r="F61" s="1"/>
      <c r="G61" s="1"/>
      <c r="H61" s="1"/>
      <c r="I61" s="1"/>
      <c r="J61" s="1"/>
      <c r="K61" s="63"/>
      <c r="L61" s="1">
        <f t="shared" si="0"/>
        <v>0</v>
      </c>
      <c r="M61" s="1"/>
      <c r="N61" s="1">
        <v>304</v>
      </c>
      <c r="O61" s="55"/>
      <c r="P61" s="55"/>
      <c r="Q61" s="55"/>
      <c r="R61" s="55"/>
      <c r="S61" s="55"/>
      <c r="T61" s="55"/>
      <c r="U61" s="55"/>
      <c r="V61" s="55"/>
      <c r="W61" s="1"/>
      <c r="X61" s="1"/>
      <c r="Y61" s="55"/>
      <c r="Z61" s="55"/>
      <c r="AA61" s="55"/>
      <c r="AB61" s="1"/>
      <c r="AC61" s="1"/>
      <c r="AD61" s="55"/>
      <c r="AE61" s="1"/>
      <c r="AF61" s="1"/>
      <c r="AG61" s="1"/>
    </row>
    <row r="62" spans="1:33" ht="22.5" customHeight="1">
      <c r="A62" s="52" t="s">
        <v>201</v>
      </c>
      <c r="B62" s="1"/>
      <c r="C62" s="1"/>
      <c r="D62" s="1"/>
      <c r="E62" s="1"/>
      <c r="F62" s="1"/>
      <c r="G62" s="1"/>
      <c r="H62" s="1"/>
      <c r="I62" s="1"/>
      <c r="J62" s="1"/>
      <c r="K62" s="63"/>
      <c r="L62" s="1">
        <f t="shared" si="0"/>
        <v>0</v>
      </c>
      <c r="M62" s="1"/>
      <c r="N62" s="1">
        <v>512</v>
      </c>
      <c r="O62" s="55"/>
      <c r="P62" s="55"/>
      <c r="Q62" s="55"/>
      <c r="R62" s="55"/>
      <c r="S62" s="55"/>
      <c r="T62" s="55"/>
      <c r="U62" s="55"/>
      <c r="V62" s="55"/>
      <c r="W62" s="1"/>
      <c r="X62" s="1"/>
      <c r="Y62" s="55"/>
      <c r="Z62" s="55"/>
      <c r="AA62" s="55"/>
      <c r="AB62" s="1"/>
      <c r="AC62" s="1"/>
      <c r="AD62" s="55"/>
      <c r="AE62" s="1"/>
      <c r="AF62" s="1"/>
      <c r="AG62" s="1"/>
    </row>
    <row r="63" spans="1:33" ht="22.5" customHeight="1">
      <c r="A63" s="52" t="s">
        <v>202</v>
      </c>
      <c r="B63" s="1"/>
      <c r="C63" s="1"/>
      <c r="D63" s="1"/>
      <c r="E63" s="1"/>
      <c r="F63" s="1"/>
      <c r="G63" s="1"/>
      <c r="H63" s="1"/>
      <c r="I63" s="1"/>
      <c r="J63" s="1"/>
      <c r="K63" s="63"/>
      <c r="L63" s="1">
        <f t="shared" si="0"/>
        <v>0</v>
      </c>
      <c r="M63" s="1"/>
      <c r="N63" s="1">
        <v>282</v>
      </c>
      <c r="O63" s="55"/>
      <c r="P63" s="55"/>
      <c r="Q63" s="55"/>
      <c r="R63" s="55"/>
      <c r="S63" s="55"/>
      <c r="T63" s="55"/>
      <c r="U63" s="55"/>
      <c r="V63" s="55"/>
      <c r="W63" s="1"/>
      <c r="X63" s="1"/>
      <c r="Y63" s="55"/>
      <c r="Z63" s="55"/>
      <c r="AA63" s="55"/>
      <c r="AB63" s="1"/>
      <c r="AC63" s="1"/>
      <c r="AD63" s="55"/>
      <c r="AE63" s="1"/>
      <c r="AF63" s="1"/>
      <c r="AG63" s="1"/>
    </row>
    <row r="64" spans="1:33" ht="22.5" customHeight="1">
      <c r="A64" s="52" t="s">
        <v>203</v>
      </c>
      <c r="B64" s="1"/>
      <c r="C64" s="1"/>
      <c r="D64" s="1"/>
      <c r="E64" s="1"/>
      <c r="F64" s="1"/>
      <c r="G64" s="1"/>
      <c r="H64" s="1"/>
      <c r="I64" s="1"/>
      <c r="J64" s="1"/>
      <c r="K64" s="63"/>
      <c r="L64" s="1">
        <f t="shared" si="0"/>
        <v>0</v>
      </c>
      <c r="M64" s="1"/>
      <c r="N64" s="1">
        <v>256</v>
      </c>
      <c r="O64" s="55"/>
      <c r="P64" s="55"/>
      <c r="Q64" s="55"/>
      <c r="R64" s="55"/>
      <c r="S64" s="55"/>
      <c r="T64" s="55"/>
      <c r="U64" s="55"/>
      <c r="V64" s="55"/>
      <c r="W64" s="1"/>
      <c r="X64" s="1"/>
      <c r="Y64" s="55"/>
      <c r="Z64" s="55"/>
      <c r="AA64" s="55"/>
      <c r="AB64" s="1"/>
      <c r="AC64" s="1"/>
      <c r="AD64" s="55"/>
      <c r="AE64" s="1"/>
      <c r="AF64" s="1"/>
      <c r="AG64" s="1"/>
    </row>
    <row r="65" spans="1:33" ht="22.5" customHeight="1">
      <c r="A65" s="52" t="s">
        <v>204</v>
      </c>
      <c r="B65" s="1"/>
      <c r="C65" s="1"/>
      <c r="D65" s="1"/>
      <c r="E65" s="1"/>
      <c r="F65" s="1"/>
      <c r="G65" s="1"/>
      <c r="H65" s="1"/>
      <c r="I65" s="1"/>
      <c r="J65" s="1"/>
      <c r="K65" s="63"/>
      <c r="L65" s="1">
        <f t="shared" si="0"/>
        <v>0</v>
      </c>
      <c r="M65" s="1"/>
      <c r="N65" s="1">
        <v>252</v>
      </c>
      <c r="O65" s="55"/>
      <c r="P65" s="55"/>
      <c r="Q65" s="55"/>
      <c r="R65" s="55"/>
      <c r="S65" s="55"/>
      <c r="T65" s="55"/>
      <c r="U65" s="55"/>
      <c r="V65" s="55"/>
      <c r="W65" s="1"/>
      <c r="X65" s="1"/>
      <c r="Y65" s="55"/>
      <c r="Z65" s="55"/>
      <c r="AA65" s="55"/>
      <c r="AB65" s="1"/>
      <c r="AC65" s="1"/>
      <c r="AD65" s="55"/>
      <c r="AE65" s="1"/>
      <c r="AF65" s="1"/>
      <c r="AG65" s="1"/>
    </row>
    <row r="66" spans="1:33" ht="22.5" customHeight="1">
      <c r="A66" s="52" t="s">
        <v>205</v>
      </c>
      <c r="B66" s="1"/>
      <c r="C66" s="1"/>
      <c r="D66" s="1"/>
      <c r="E66" s="1"/>
      <c r="F66" s="1"/>
      <c r="G66" s="1"/>
      <c r="H66" s="1"/>
      <c r="I66" s="1"/>
      <c r="J66" s="1"/>
      <c r="K66" s="63"/>
      <c r="L66" s="1">
        <f t="shared" si="0"/>
        <v>0</v>
      </c>
      <c r="M66" s="1"/>
      <c r="N66" s="1">
        <v>367</v>
      </c>
      <c r="O66" s="55"/>
      <c r="P66" s="55"/>
      <c r="Q66" s="55"/>
      <c r="R66" s="55"/>
      <c r="S66" s="55"/>
      <c r="T66" s="55"/>
      <c r="U66" s="55"/>
      <c r="V66" s="55"/>
      <c r="W66" s="1"/>
      <c r="X66" s="1"/>
      <c r="Y66" s="55"/>
      <c r="Z66" s="55"/>
      <c r="AA66" s="55"/>
      <c r="AB66" s="1"/>
      <c r="AC66" s="1"/>
      <c r="AD66" s="55"/>
      <c r="AE66" s="1"/>
      <c r="AF66" s="1"/>
      <c r="AG66" s="1"/>
    </row>
    <row r="67" spans="1:33" ht="22.5" customHeight="1">
      <c r="A67" s="52" t="s">
        <v>206</v>
      </c>
      <c r="B67" s="1"/>
      <c r="C67" s="1"/>
      <c r="D67" s="1"/>
      <c r="E67" s="1"/>
      <c r="F67" s="1"/>
      <c r="G67" s="1"/>
      <c r="H67" s="1"/>
      <c r="I67" s="1"/>
      <c r="J67" s="1"/>
      <c r="K67" s="63"/>
      <c r="L67" s="1">
        <f t="shared" si="0"/>
        <v>0</v>
      </c>
      <c r="M67" s="1"/>
      <c r="N67" s="1">
        <v>29</v>
      </c>
      <c r="O67" s="55"/>
      <c r="P67" s="55"/>
      <c r="Q67" s="55"/>
      <c r="R67" s="55"/>
      <c r="S67" s="55"/>
      <c r="T67" s="55"/>
      <c r="U67" s="55"/>
      <c r="V67" s="55"/>
      <c r="W67" s="1"/>
      <c r="X67" s="1"/>
      <c r="Y67" s="55"/>
      <c r="Z67" s="55"/>
      <c r="AA67" s="55"/>
      <c r="AB67" s="1"/>
      <c r="AC67" s="1"/>
      <c r="AD67" s="55"/>
      <c r="AE67" s="1"/>
      <c r="AF67" s="1"/>
      <c r="AG67" s="1"/>
    </row>
    <row r="68" spans="1:33" ht="22.5" customHeight="1">
      <c r="A68" s="52" t="s">
        <v>207</v>
      </c>
      <c r="B68" s="1"/>
      <c r="C68" s="1"/>
      <c r="D68" s="1"/>
      <c r="E68" s="1"/>
      <c r="F68" s="1"/>
      <c r="G68" s="1"/>
      <c r="H68" s="1"/>
      <c r="I68" s="1"/>
      <c r="J68" s="1"/>
      <c r="K68" s="63"/>
      <c r="L68" s="1">
        <f t="shared" si="0"/>
        <v>0</v>
      </c>
      <c r="M68" s="1"/>
      <c r="N68" s="1">
        <v>584</v>
      </c>
      <c r="O68" s="55"/>
      <c r="P68" s="55"/>
      <c r="Q68" s="55"/>
      <c r="R68" s="55"/>
      <c r="S68" s="55"/>
      <c r="T68" s="55"/>
      <c r="U68" s="55"/>
      <c r="V68" s="55"/>
      <c r="W68" s="1"/>
      <c r="X68" s="1"/>
      <c r="Y68" s="55"/>
      <c r="Z68" s="55"/>
      <c r="AA68" s="55"/>
      <c r="AB68" s="1"/>
      <c r="AC68" s="1"/>
      <c r="AD68" s="55"/>
      <c r="AE68" s="1"/>
      <c r="AF68" s="1"/>
      <c r="AG68" s="1"/>
    </row>
    <row r="69" spans="1:33" ht="22.5" customHeight="1">
      <c r="A69" s="52" t="s">
        <v>208</v>
      </c>
      <c r="B69" s="1"/>
      <c r="C69" s="1"/>
      <c r="D69" s="1"/>
      <c r="E69" s="1"/>
      <c r="F69" s="1"/>
      <c r="G69" s="1"/>
      <c r="H69" s="1"/>
      <c r="I69" s="1"/>
      <c r="J69" s="1"/>
      <c r="K69" s="63"/>
      <c r="L69" s="1">
        <f t="shared" si="0"/>
        <v>0</v>
      </c>
      <c r="M69" s="1"/>
      <c r="N69" s="1">
        <v>764</v>
      </c>
      <c r="O69" s="55"/>
      <c r="P69" s="55"/>
      <c r="Q69" s="55"/>
      <c r="R69" s="55"/>
      <c r="S69" s="55"/>
      <c r="T69" s="55"/>
      <c r="U69" s="55"/>
      <c r="V69" s="55"/>
      <c r="W69" s="1"/>
      <c r="X69" s="1"/>
      <c r="Y69" s="55"/>
      <c r="Z69" s="55"/>
      <c r="AA69" s="55"/>
      <c r="AB69" s="1"/>
      <c r="AC69" s="1"/>
      <c r="AD69" s="55"/>
      <c r="AE69" s="1"/>
      <c r="AF69" s="1"/>
      <c r="AG69" s="1"/>
    </row>
    <row r="70" spans="1:33" ht="22.5" customHeight="1">
      <c r="A70" s="52" t="s">
        <v>209</v>
      </c>
      <c r="B70" s="1"/>
      <c r="C70" s="1"/>
      <c r="D70" s="1"/>
      <c r="E70" s="1"/>
      <c r="F70" s="1"/>
      <c r="G70" s="1"/>
      <c r="H70" s="1"/>
      <c r="I70" s="1"/>
      <c r="J70" s="1"/>
      <c r="K70" s="63"/>
      <c r="L70" s="1">
        <f t="shared" si="0"/>
        <v>0</v>
      </c>
      <c r="M70" s="1"/>
      <c r="N70" s="1">
        <v>108</v>
      </c>
      <c r="O70" s="55"/>
      <c r="P70" s="55"/>
      <c r="Q70" s="55"/>
      <c r="R70" s="55"/>
      <c r="S70" s="55"/>
      <c r="T70" s="55"/>
      <c r="U70" s="55"/>
      <c r="V70" s="55"/>
      <c r="W70" s="1"/>
      <c r="X70" s="1"/>
      <c r="Y70" s="55"/>
      <c r="Z70" s="55"/>
      <c r="AA70" s="55"/>
      <c r="AB70" s="1"/>
      <c r="AC70" s="1"/>
      <c r="AD70" s="55"/>
      <c r="AE70" s="1"/>
      <c r="AF70" s="1"/>
      <c r="AG70" s="1"/>
    </row>
    <row r="71" spans="1:33" ht="22.5" customHeight="1">
      <c r="A71" s="52" t="s">
        <v>210</v>
      </c>
      <c r="B71" s="1"/>
      <c r="C71" s="1"/>
      <c r="D71" s="1"/>
      <c r="E71" s="1"/>
      <c r="F71" s="1"/>
      <c r="G71" s="1"/>
      <c r="H71" s="1"/>
      <c r="I71" s="1"/>
      <c r="J71" s="1"/>
      <c r="K71" s="63"/>
      <c r="L71" s="1">
        <f t="shared" si="0"/>
        <v>0</v>
      </c>
      <c r="M71" s="1"/>
      <c r="N71" s="1">
        <v>316</v>
      </c>
      <c r="O71" s="55"/>
      <c r="P71" s="55"/>
      <c r="Q71" s="55"/>
      <c r="R71" s="55"/>
      <c r="S71" s="55"/>
      <c r="T71" s="55"/>
      <c r="U71" s="55"/>
      <c r="V71" s="55"/>
      <c r="W71" s="1"/>
      <c r="X71" s="1"/>
      <c r="Y71" s="55"/>
      <c r="Z71" s="55"/>
      <c r="AA71" s="55"/>
      <c r="AB71" s="1"/>
      <c r="AC71" s="1"/>
      <c r="AD71" s="55"/>
      <c r="AE71" s="1"/>
      <c r="AF71" s="1"/>
      <c r="AG71" s="1"/>
    </row>
    <row r="72" spans="1:33" ht="22.5" customHeight="1">
      <c r="A72" s="52" t="s">
        <v>211</v>
      </c>
      <c r="B72" s="1"/>
      <c r="C72" s="1"/>
      <c r="D72" s="1"/>
      <c r="E72" s="1"/>
      <c r="F72" s="1"/>
      <c r="G72" s="1"/>
      <c r="H72" s="1"/>
      <c r="I72" s="1"/>
      <c r="J72" s="1"/>
      <c r="K72" s="63"/>
      <c r="L72" s="1">
        <f t="shared" si="0"/>
        <v>0</v>
      </c>
      <c r="M72" s="1"/>
      <c r="N72" s="1">
        <v>771</v>
      </c>
      <c r="O72" s="55"/>
      <c r="P72" s="55"/>
      <c r="Q72" s="55"/>
      <c r="R72" s="55"/>
      <c r="S72" s="55"/>
      <c r="T72" s="55"/>
      <c r="U72" s="55"/>
      <c r="V72" s="55"/>
      <c r="W72" s="1"/>
      <c r="X72" s="1"/>
      <c r="Y72" s="55"/>
      <c r="Z72" s="55"/>
      <c r="AA72" s="55"/>
      <c r="AB72" s="1"/>
      <c r="AC72" s="1"/>
      <c r="AD72" s="55"/>
      <c r="AE72" s="1"/>
      <c r="AF72" s="1"/>
      <c r="AG72" s="1"/>
    </row>
    <row r="73" spans="1:33" ht="22.5" customHeight="1">
      <c r="A73" s="52" t="s">
        <v>212</v>
      </c>
      <c r="B73" s="1"/>
      <c r="C73" s="1"/>
      <c r="D73" s="1"/>
      <c r="E73" s="1"/>
      <c r="F73" s="1"/>
      <c r="G73" s="1"/>
      <c r="H73" s="1"/>
      <c r="I73" s="1"/>
      <c r="J73" s="1"/>
      <c r="K73" s="63"/>
      <c r="L73" s="1">
        <f t="shared" si="0"/>
        <v>0</v>
      </c>
      <c r="M73" s="1"/>
      <c r="N73" s="1">
        <v>408</v>
      </c>
      <c r="O73" s="55"/>
      <c r="P73" s="55"/>
      <c r="Q73" s="55"/>
      <c r="R73" s="55"/>
      <c r="S73" s="55"/>
      <c r="T73" s="55"/>
      <c r="U73" s="55"/>
      <c r="V73" s="55"/>
      <c r="W73" s="1"/>
      <c r="X73" s="1"/>
      <c r="Y73" s="55"/>
      <c r="Z73" s="55"/>
      <c r="AA73" s="55"/>
      <c r="AB73" s="1"/>
      <c r="AC73" s="1"/>
      <c r="AD73" s="55"/>
      <c r="AE73" s="1"/>
      <c r="AF73" s="1"/>
      <c r="AG73" s="1"/>
    </row>
    <row r="74" spans="1:33" ht="22.5" customHeight="1">
      <c r="A74" s="52" t="s">
        <v>213</v>
      </c>
      <c r="B74" s="1"/>
      <c r="C74" s="1"/>
      <c r="D74" s="1"/>
      <c r="E74" s="1"/>
      <c r="F74" s="1"/>
      <c r="G74" s="1"/>
      <c r="H74" s="1"/>
      <c r="I74" s="1"/>
      <c r="J74" s="1"/>
      <c r="K74" s="63"/>
      <c r="L74" s="1">
        <f t="shared" si="0"/>
        <v>0</v>
      </c>
      <c r="M74" s="1"/>
      <c r="N74" s="1">
        <v>292</v>
      </c>
      <c r="O74" s="55"/>
      <c r="P74" s="55"/>
      <c r="Q74" s="55"/>
      <c r="R74" s="55"/>
      <c r="S74" s="55"/>
      <c r="T74" s="55"/>
      <c r="U74" s="55"/>
      <c r="V74" s="55"/>
      <c r="W74" s="1"/>
      <c r="X74" s="1"/>
      <c r="Y74" s="55"/>
      <c r="Z74" s="55"/>
      <c r="AA74" s="55"/>
      <c r="AB74" s="1"/>
      <c r="AC74" s="1"/>
      <c r="AD74" s="55"/>
      <c r="AE74" s="1"/>
      <c r="AF74" s="1"/>
      <c r="AG74" s="1"/>
    </row>
    <row r="75" spans="1:33" ht="22.5" customHeight="1">
      <c r="A75" s="52" t="s">
        <v>214</v>
      </c>
      <c r="B75" s="1"/>
      <c r="C75" s="1"/>
      <c r="D75" s="1"/>
      <c r="E75" s="1"/>
      <c r="F75" s="1"/>
      <c r="G75" s="1"/>
      <c r="H75" s="1"/>
      <c r="I75" s="1"/>
      <c r="J75" s="1"/>
      <c r="K75" s="63"/>
      <c r="L75" s="1">
        <f t="shared" si="0"/>
        <v>0</v>
      </c>
      <c r="M75" s="1"/>
      <c r="N75" s="1">
        <v>213</v>
      </c>
      <c r="O75" s="55"/>
      <c r="P75" s="55"/>
      <c r="Q75" s="55"/>
      <c r="R75" s="55"/>
      <c r="S75" s="55"/>
      <c r="T75" s="55"/>
      <c r="U75" s="55"/>
      <c r="V75" s="55"/>
      <c r="W75" s="1"/>
      <c r="X75" s="1"/>
      <c r="Y75" s="55"/>
      <c r="Z75" s="55"/>
      <c r="AA75" s="55"/>
      <c r="AB75" s="1"/>
      <c r="AC75" s="1"/>
      <c r="AD75" s="55"/>
      <c r="AE75" s="1"/>
      <c r="AF75" s="1"/>
      <c r="AG75" s="1"/>
    </row>
    <row r="76" spans="1:33" ht="22.5" customHeight="1">
      <c r="A76" s="52" t="s">
        <v>215</v>
      </c>
      <c r="B76" s="1"/>
      <c r="C76" s="1"/>
      <c r="D76" s="1"/>
      <c r="E76" s="1"/>
      <c r="F76" s="1"/>
      <c r="G76" s="1"/>
      <c r="H76" s="1"/>
      <c r="I76" s="1"/>
      <c r="J76" s="1"/>
      <c r="K76" s="63"/>
      <c r="L76" s="1">
        <f t="shared" si="0"/>
        <v>0</v>
      </c>
      <c r="M76" s="1"/>
      <c r="N76" s="1">
        <v>284</v>
      </c>
      <c r="O76" s="55"/>
      <c r="P76" s="55"/>
      <c r="Q76" s="55"/>
      <c r="R76" s="55"/>
      <c r="S76" s="55"/>
      <c r="T76" s="55"/>
      <c r="U76" s="55"/>
      <c r="V76" s="55"/>
      <c r="W76" s="1"/>
      <c r="X76" s="1"/>
      <c r="Y76" s="55"/>
      <c r="Z76" s="55"/>
      <c r="AA76" s="55"/>
      <c r="AB76" s="1"/>
      <c r="AC76" s="1"/>
      <c r="AD76" s="55"/>
      <c r="AE76" s="1"/>
      <c r="AF76" s="1"/>
      <c r="AG76" s="1"/>
    </row>
    <row r="77" spans="1:33" ht="22.5" customHeight="1">
      <c r="A77" s="52" t="s">
        <v>216</v>
      </c>
      <c r="B77" s="1"/>
      <c r="C77" s="1"/>
      <c r="D77" s="1"/>
      <c r="E77" s="1"/>
      <c r="F77" s="1"/>
      <c r="G77" s="1"/>
      <c r="H77" s="1"/>
      <c r="I77" s="1"/>
      <c r="J77" s="1"/>
      <c r="K77" s="63"/>
      <c r="L77" s="1">
        <f t="shared" si="0"/>
        <v>0</v>
      </c>
      <c r="M77" s="1"/>
      <c r="N77" s="1">
        <v>404</v>
      </c>
      <c r="O77" s="55"/>
      <c r="P77" s="55"/>
      <c r="Q77" s="55"/>
      <c r="R77" s="55"/>
      <c r="S77" s="55"/>
      <c r="T77" s="55"/>
      <c r="U77" s="55"/>
      <c r="V77" s="55"/>
      <c r="W77" s="1"/>
      <c r="X77" s="1"/>
      <c r="Y77" s="55"/>
      <c r="Z77" s="55"/>
      <c r="AA77" s="55"/>
      <c r="AB77" s="1"/>
      <c r="AC77" s="1"/>
      <c r="AD77" s="55"/>
      <c r="AE77" s="1"/>
      <c r="AF77" s="1"/>
      <c r="AG77" s="1"/>
    </row>
    <row r="78" spans="1:33" ht="22.5" customHeight="1">
      <c r="A78" s="52" t="s">
        <v>217</v>
      </c>
      <c r="B78" s="1"/>
      <c r="C78" s="1"/>
      <c r="D78" s="1"/>
      <c r="E78" s="1"/>
      <c r="F78" s="1"/>
      <c r="G78" s="1"/>
      <c r="H78" s="1"/>
      <c r="I78" s="1"/>
      <c r="J78" s="1"/>
      <c r="K78" s="63"/>
      <c r="L78" s="1">
        <f t="shared" si="0"/>
        <v>0</v>
      </c>
      <c r="M78" s="1"/>
      <c r="N78" s="1">
        <v>213</v>
      </c>
      <c r="O78" s="55"/>
      <c r="P78" s="55"/>
      <c r="Q78" s="55"/>
      <c r="R78" s="55"/>
      <c r="S78" s="55"/>
      <c r="T78" s="55"/>
      <c r="U78" s="55"/>
      <c r="V78" s="55"/>
      <c r="W78" s="1"/>
      <c r="X78" s="1"/>
      <c r="Y78" s="55"/>
      <c r="Z78" s="55"/>
      <c r="AA78" s="55"/>
      <c r="AB78" s="1"/>
      <c r="AC78" s="1"/>
      <c r="AD78" s="55"/>
      <c r="AE78" s="1"/>
      <c r="AF78" s="1"/>
      <c r="AG78" s="1"/>
    </row>
    <row r="79" spans="1:33" ht="22.5" customHeight="1">
      <c r="A79" s="52" t="s">
        <v>218</v>
      </c>
      <c r="B79" s="1"/>
      <c r="C79" s="1"/>
      <c r="D79" s="1"/>
      <c r="E79" s="1"/>
      <c r="F79" s="1"/>
      <c r="G79" s="1"/>
      <c r="H79" s="1"/>
      <c r="I79" s="1"/>
      <c r="J79" s="1"/>
      <c r="K79" s="63"/>
      <c r="L79" s="1">
        <f t="shared" si="0"/>
        <v>0</v>
      </c>
      <c r="M79" s="1"/>
      <c r="N79" s="1">
        <v>464</v>
      </c>
      <c r="O79" s="55"/>
      <c r="P79" s="55"/>
      <c r="Q79" s="55"/>
      <c r="R79" s="55"/>
      <c r="S79" s="55"/>
      <c r="T79" s="55"/>
      <c r="U79" s="55"/>
      <c r="V79" s="55"/>
      <c r="W79" s="1"/>
      <c r="X79" s="1"/>
      <c r="Y79" s="55"/>
      <c r="Z79" s="55"/>
      <c r="AA79" s="55"/>
      <c r="AB79" s="1"/>
      <c r="AC79" s="1"/>
      <c r="AD79" s="55"/>
      <c r="AE79" s="1"/>
      <c r="AF79" s="1"/>
      <c r="AG79" s="1"/>
    </row>
    <row r="80" spans="1:33" ht="22.5" customHeight="1">
      <c r="A80" s="52" t="s">
        <v>219</v>
      </c>
      <c r="B80" s="1"/>
      <c r="C80" s="1"/>
      <c r="D80" s="1"/>
      <c r="E80" s="1"/>
      <c r="F80" s="1"/>
      <c r="G80" s="1"/>
      <c r="H80" s="1"/>
      <c r="I80" s="1"/>
      <c r="J80" s="1"/>
      <c r="K80" s="63"/>
      <c r="L80" s="1">
        <f t="shared" si="0"/>
        <v>0</v>
      </c>
      <c r="M80" s="1"/>
      <c r="N80" s="1">
        <v>480</v>
      </c>
      <c r="O80" s="55"/>
      <c r="P80" s="55"/>
      <c r="Q80" s="55"/>
      <c r="R80" s="55"/>
      <c r="S80" s="55"/>
      <c r="T80" s="55"/>
      <c r="U80" s="55"/>
      <c r="V80" s="55"/>
      <c r="W80" s="1"/>
      <c r="X80" s="1"/>
      <c r="Y80" s="55"/>
      <c r="Z80" s="55"/>
      <c r="AA80" s="55"/>
      <c r="AB80" s="1"/>
      <c r="AC80" s="1"/>
      <c r="AD80" s="55"/>
      <c r="AE80" s="1"/>
      <c r="AF80" s="1"/>
      <c r="AG80" s="1"/>
    </row>
    <row r="81" spans="1:33" ht="22.5" customHeight="1">
      <c r="A81" s="52" t="s">
        <v>220</v>
      </c>
      <c r="B81" s="1"/>
      <c r="C81" s="1"/>
      <c r="D81" s="1"/>
      <c r="E81" s="1"/>
      <c r="F81" s="1"/>
      <c r="G81" s="1"/>
      <c r="H81" s="1"/>
      <c r="I81" s="1"/>
      <c r="J81" s="1"/>
      <c r="K81" s="63"/>
      <c r="L81" s="1">
        <f t="shared" si="0"/>
        <v>0</v>
      </c>
      <c r="M81" s="1"/>
      <c r="N81" s="1">
        <v>155</v>
      </c>
      <c r="O81" s="55"/>
      <c r="P81" s="55"/>
      <c r="Q81" s="55"/>
      <c r="R81" s="55"/>
      <c r="S81" s="55"/>
      <c r="T81" s="55"/>
      <c r="U81" s="55"/>
      <c r="V81" s="55"/>
      <c r="W81" s="1"/>
      <c r="X81" s="1"/>
      <c r="Y81" s="55"/>
      <c r="Z81" s="55"/>
      <c r="AA81" s="55"/>
      <c r="AB81" s="1"/>
      <c r="AC81" s="1"/>
      <c r="AD81" s="55"/>
      <c r="AE81" s="1"/>
      <c r="AF81" s="1"/>
      <c r="AG81" s="1"/>
    </row>
    <row r="82" spans="1:33" ht="22.5" customHeight="1">
      <c r="A82" s="52" t="s">
        <v>221</v>
      </c>
      <c r="B82" s="1"/>
      <c r="C82" s="1"/>
      <c r="D82" s="1"/>
      <c r="E82" s="1"/>
      <c r="F82" s="1"/>
      <c r="G82" s="1"/>
      <c r="H82" s="1"/>
      <c r="I82" s="1"/>
      <c r="J82" s="1"/>
      <c r="K82" s="63"/>
      <c r="L82" s="1">
        <f t="shared" si="0"/>
        <v>0</v>
      </c>
      <c r="M82" s="1"/>
      <c r="N82" s="1">
        <v>921</v>
      </c>
      <c r="O82" s="55"/>
      <c r="P82" s="55"/>
      <c r="Q82" s="55"/>
      <c r="R82" s="55"/>
      <c r="S82" s="55"/>
      <c r="T82" s="55"/>
      <c r="U82" s="55"/>
      <c r="V82" s="55"/>
      <c r="W82" s="1"/>
      <c r="X82" s="1"/>
      <c r="Y82" s="55"/>
      <c r="Z82" s="55"/>
      <c r="AA82" s="55"/>
      <c r="AB82" s="1"/>
      <c r="AC82" s="1"/>
      <c r="AD82" s="55"/>
      <c r="AE82" s="1"/>
      <c r="AF82" s="1"/>
      <c r="AG82" s="1"/>
    </row>
    <row r="83" spans="1:33" ht="22.5" customHeight="1">
      <c r="A83" s="52" t="s">
        <v>222</v>
      </c>
      <c r="B83" s="1"/>
      <c r="C83" s="1"/>
      <c r="D83" s="1"/>
      <c r="E83" s="1"/>
      <c r="F83" s="1"/>
      <c r="G83" s="1"/>
      <c r="H83" s="1"/>
      <c r="I83" s="1"/>
      <c r="J83" s="1"/>
      <c r="K83" s="63"/>
      <c r="L83" s="1">
        <f t="shared" si="0"/>
        <v>0</v>
      </c>
      <c r="M83" s="1"/>
      <c r="N83" s="1">
        <v>302</v>
      </c>
      <c r="O83" s="55"/>
      <c r="P83" s="55"/>
      <c r="Q83" s="55"/>
      <c r="R83" s="55"/>
      <c r="S83" s="55"/>
      <c r="T83" s="55"/>
      <c r="U83" s="55"/>
      <c r="V83" s="55"/>
      <c r="W83" s="1"/>
      <c r="X83" s="1"/>
      <c r="Y83" s="55"/>
      <c r="Z83" s="55"/>
      <c r="AA83" s="55"/>
      <c r="AB83" s="1"/>
      <c r="AC83" s="1"/>
      <c r="AD83" s="55"/>
      <c r="AE83" s="1"/>
      <c r="AF83" s="1"/>
      <c r="AG83" s="1"/>
    </row>
    <row r="84" spans="1:33" ht="22.5" customHeight="1">
      <c r="A84" s="52" t="s">
        <v>223</v>
      </c>
      <c r="B84" s="1"/>
      <c r="C84" s="1"/>
      <c r="D84" s="1"/>
      <c r="E84" s="1"/>
      <c r="F84" s="1"/>
      <c r="G84" s="1"/>
      <c r="H84" s="1"/>
      <c r="I84" s="1"/>
      <c r="J84" s="1"/>
      <c r="K84" s="63"/>
      <c r="L84" s="1">
        <f t="shared" si="0"/>
        <v>0</v>
      </c>
      <c r="M84" s="1"/>
      <c r="N84" s="1">
        <v>492</v>
      </c>
      <c r="O84" s="55"/>
      <c r="P84" s="55"/>
      <c r="Q84" s="55"/>
      <c r="R84" s="55"/>
      <c r="S84" s="55"/>
      <c r="T84" s="55"/>
      <c r="U84" s="55"/>
      <c r="V84" s="55"/>
      <c r="W84" s="1"/>
      <c r="X84" s="1"/>
      <c r="Y84" s="55"/>
      <c r="Z84" s="55"/>
      <c r="AA84" s="55"/>
      <c r="AB84" s="1"/>
      <c r="AC84" s="1"/>
      <c r="AD84" s="55"/>
      <c r="AE84" s="1"/>
      <c r="AF84" s="1"/>
      <c r="AG84" s="1"/>
    </row>
    <row r="85" spans="1:33" ht="22.5" customHeight="1">
      <c r="A85" s="52" t="s">
        <v>224</v>
      </c>
      <c r="B85" s="1"/>
      <c r="C85" s="1"/>
      <c r="D85" s="1"/>
      <c r="E85" s="1"/>
      <c r="F85" s="1"/>
      <c r="G85" s="1"/>
      <c r="H85" s="1"/>
      <c r="I85" s="1"/>
      <c r="J85" s="1"/>
      <c r="K85" s="63"/>
      <c r="L85" s="1">
        <f t="shared" si="0"/>
        <v>0</v>
      </c>
      <c r="M85" s="1"/>
      <c r="N85" s="1">
        <v>1000</v>
      </c>
      <c r="O85" s="55"/>
      <c r="P85" s="55"/>
      <c r="Q85" s="55"/>
      <c r="R85" s="55"/>
      <c r="S85" s="55"/>
      <c r="T85" s="55"/>
      <c r="U85" s="55"/>
      <c r="V85" s="55"/>
      <c r="W85" s="1"/>
      <c r="X85" s="1"/>
      <c r="Y85" s="55"/>
      <c r="Z85" s="55"/>
      <c r="AA85" s="55"/>
      <c r="AB85" s="1"/>
      <c r="AC85" s="1"/>
      <c r="AD85" s="55"/>
      <c r="AE85" s="1"/>
      <c r="AF85" s="1"/>
      <c r="AG85" s="1"/>
    </row>
    <row r="86" spans="1:33" ht="22.5" customHeight="1">
      <c r="A86" s="52" t="s">
        <v>225</v>
      </c>
      <c r="B86" s="1"/>
      <c r="C86" s="1"/>
      <c r="D86" s="1"/>
      <c r="E86" s="1"/>
      <c r="F86" s="1"/>
      <c r="G86" s="1"/>
      <c r="H86" s="1"/>
      <c r="I86" s="1"/>
      <c r="J86" s="1"/>
      <c r="K86" s="63"/>
      <c r="L86" s="1">
        <f t="shared" si="0"/>
        <v>0</v>
      </c>
      <c r="M86" s="1"/>
      <c r="N86" s="1">
        <v>240</v>
      </c>
      <c r="O86" s="55"/>
      <c r="P86" s="55"/>
      <c r="Q86" s="55"/>
      <c r="R86" s="55"/>
      <c r="S86" s="55"/>
      <c r="T86" s="55"/>
      <c r="U86" s="55"/>
      <c r="V86" s="55"/>
      <c r="W86" s="1"/>
      <c r="X86" s="1"/>
      <c r="Y86" s="55"/>
      <c r="Z86" s="55"/>
      <c r="AA86" s="55"/>
      <c r="AB86" s="1"/>
      <c r="AC86" s="1"/>
      <c r="AD86" s="55"/>
      <c r="AE86" s="1"/>
      <c r="AF86" s="1"/>
      <c r="AG86" s="1"/>
    </row>
    <row r="87" spans="1:33" ht="22.5" customHeight="1">
      <c r="A87" s="52" t="s">
        <v>226</v>
      </c>
      <c r="B87" s="1"/>
      <c r="C87" s="1"/>
      <c r="D87" s="1"/>
      <c r="E87" s="1"/>
      <c r="F87" s="1"/>
      <c r="G87" s="1"/>
      <c r="H87" s="1"/>
      <c r="I87" s="1"/>
      <c r="J87" s="1"/>
      <c r="K87" s="63"/>
      <c r="L87" s="1">
        <f t="shared" si="0"/>
        <v>0</v>
      </c>
      <c r="M87" s="1"/>
      <c r="N87" s="1">
        <v>232</v>
      </c>
      <c r="O87" s="55"/>
      <c r="P87" s="55"/>
      <c r="Q87" s="55"/>
      <c r="R87" s="55"/>
      <c r="S87" s="55"/>
      <c r="T87" s="55"/>
      <c r="U87" s="55"/>
      <c r="V87" s="55"/>
      <c r="W87" s="1"/>
      <c r="X87" s="1"/>
      <c r="Y87" s="55"/>
      <c r="Z87" s="55"/>
      <c r="AA87" s="55"/>
      <c r="AB87" s="1"/>
      <c r="AC87" s="1"/>
      <c r="AD87" s="55"/>
      <c r="AE87" s="1"/>
      <c r="AF87" s="1"/>
      <c r="AG87" s="1"/>
    </row>
    <row r="88" spans="1:33" ht="22.5" customHeight="1">
      <c r="A88" s="52" t="s">
        <v>227</v>
      </c>
      <c r="B88" s="1"/>
      <c r="C88" s="1"/>
      <c r="D88" s="1"/>
      <c r="E88" s="1"/>
      <c r="F88" s="1"/>
      <c r="G88" s="1"/>
      <c r="H88" s="1"/>
      <c r="I88" s="1"/>
      <c r="J88" s="1"/>
      <c r="K88" s="63"/>
      <c r="L88" s="1">
        <f t="shared" si="0"/>
        <v>0</v>
      </c>
      <c r="M88" s="1"/>
      <c r="N88" s="1">
        <v>344</v>
      </c>
      <c r="O88" s="55"/>
      <c r="P88" s="55"/>
      <c r="Q88" s="55"/>
      <c r="R88" s="55"/>
      <c r="S88" s="55"/>
      <c r="T88" s="55"/>
      <c r="U88" s="55"/>
      <c r="V88" s="55"/>
      <c r="W88" s="1"/>
      <c r="X88" s="1"/>
      <c r="Y88" s="55"/>
      <c r="Z88" s="55"/>
      <c r="AA88" s="55"/>
      <c r="AB88" s="1"/>
      <c r="AC88" s="1"/>
      <c r="AD88" s="55"/>
      <c r="AE88" s="1"/>
      <c r="AF88" s="1"/>
      <c r="AG88" s="1"/>
    </row>
    <row r="89" spans="1:33" ht="22.5" customHeight="1">
      <c r="A89" s="52" t="s">
        <v>228</v>
      </c>
      <c r="B89" s="1"/>
      <c r="C89" s="1"/>
      <c r="D89" s="1"/>
      <c r="E89" s="1"/>
      <c r="F89" s="1"/>
      <c r="G89" s="1"/>
      <c r="H89" s="1"/>
      <c r="I89" s="1"/>
      <c r="J89" s="1"/>
      <c r="K89" s="63"/>
      <c r="L89" s="1">
        <f t="shared" si="0"/>
        <v>0</v>
      </c>
      <c r="M89" s="1"/>
      <c r="N89" s="1">
        <v>238</v>
      </c>
      <c r="O89" s="55"/>
      <c r="P89" s="55"/>
      <c r="Q89" s="55"/>
      <c r="R89" s="55"/>
      <c r="S89" s="55"/>
      <c r="T89" s="55"/>
      <c r="U89" s="55"/>
      <c r="V89" s="55"/>
      <c r="W89" s="1"/>
      <c r="X89" s="1"/>
      <c r="Y89" s="55"/>
      <c r="Z89" s="55"/>
      <c r="AA89" s="55"/>
      <c r="AB89" s="1"/>
      <c r="AC89" s="1"/>
      <c r="AD89" s="55"/>
      <c r="AE89" s="1"/>
      <c r="AF89" s="1"/>
      <c r="AG89" s="1"/>
    </row>
    <row r="90" spans="1:33" ht="22.5" customHeight="1">
      <c r="A90" s="52" t="s">
        <v>229</v>
      </c>
      <c r="B90" s="1"/>
      <c r="C90" s="1"/>
      <c r="D90" s="1"/>
      <c r="E90" s="1"/>
      <c r="F90" s="1"/>
      <c r="G90" s="1"/>
      <c r="H90" s="1"/>
      <c r="I90" s="1"/>
      <c r="J90" s="1"/>
      <c r="K90" s="63"/>
      <c r="L90" s="1">
        <f t="shared" si="0"/>
        <v>0</v>
      </c>
      <c r="M90" s="1"/>
      <c r="N90" s="1">
        <v>308</v>
      </c>
      <c r="O90" s="55"/>
      <c r="P90" s="55"/>
      <c r="Q90" s="55"/>
      <c r="R90" s="55"/>
      <c r="S90" s="55"/>
      <c r="T90" s="55"/>
      <c r="U90" s="55"/>
      <c r="V90" s="55"/>
      <c r="W90" s="1"/>
      <c r="X90" s="1"/>
      <c r="Y90" s="55"/>
      <c r="Z90" s="55"/>
      <c r="AA90" s="55"/>
      <c r="AB90" s="1"/>
      <c r="AC90" s="1"/>
      <c r="AD90" s="55"/>
      <c r="AE90" s="1"/>
      <c r="AF90" s="1"/>
      <c r="AG90" s="1"/>
    </row>
    <row r="91" spans="1:33" ht="22.5" customHeight="1">
      <c r="A91" s="52" t="s">
        <v>230</v>
      </c>
      <c r="B91" s="1"/>
      <c r="C91" s="1"/>
      <c r="D91" s="1"/>
      <c r="E91" s="1"/>
      <c r="F91" s="1"/>
      <c r="G91" s="1"/>
      <c r="H91" s="1"/>
      <c r="I91" s="1"/>
      <c r="J91" s="1"/>
      <c r="K91" s="63"/>
      <c r="L91" s="1">
        <f t="shared" si="0"/>
        <v>0</v>
      </c>
      <c r="M91" s="1"/>
      <c r="N91" s="1">
        <v>448</v>
      </c>
      <c r="O91" s="55"/>
      <c r="P91" s="55"/>
      <c r="Q91" s="55"/>
      <c r="R91" s="55"/>
      <c r="S91" s="55"/>
      <c r="T91" s="55"/>
      <c r="U91" s="55"/>
      <c r="V91" s="55"/>
      <c r="W91" s="1"/>
      <c r="X91" s="1"/>
      <c r="Y91" s="55"/>
      <c r="Z91" s="55"/>
      <c r="AA91" s="55"/>
      <c r="AB91" s="1"/>
      <c r="AC91" s="1"/>
      <c r="AD91" s="55"/>
      <c r="AE91" s="1"/>
      <c r="AF91" s="1"/>
      <c r="AG91" s="1"/>
    </row>
    <row r="92" spans="1:33" ht="22.5" customHeight="1">
      <c r="A92" s="52" t="s">
        <v>231</v>
      </c>
      <c r="B92" s="1"/>
      <c r="C92" s="1"/>
      <c r="D92" s="1"/>
      <c r="E92" s="1"/>
      <c r="F92" s="1"/>
      <c r="G92" s="1"/>
      <c r="H92" s="1"/>
      <c r="I92" s="1"/>
      <c r="J92" s="1"/>
      <c r="K92" s="63"/>
      <c r="L92" s="1">
        <f t="shared" si="0"/>
        <v>0</v>
      </c>
      <c r="M92" s="1"/>
      <c r="N92" s="1">
        <v>604</v>
      </c>
      <c r="O92" s="55"/>
      <c r="P92" s="55"/>
      <c r="Q92" s="55"/>
      <c r="R92" s="55"/>
      <c r="S92" s="55"/>
      <c r="T92" s="55"/>
      <c r="U92" s="55"/>
      <c r="V92" s="55"/>
      <c r="W92" s="1"/>
      <c r="X92" s="1"/>
      <c r="Y92" s="55"/>
      <c r="Z92" s="55"/>
      <c r="AA92" s="55"/>
      <c r="AB92" s="1"/>
      <c r="AC92" s="1"/>
      <c r="AD92" s="55"/>
      <c r="AE92" s="1"/>
      <c r="AF92" s="1"/>
      <c r="AG92" s="1"/>
    </row>
    <row r="93" spans="1:33" ht="22.5" customHeight="1">
      <c r="A93" s="52" t="s">
        <v>232</v>
      </c>
      <c r="B93" s="1"/>
      <c r="C93" s="1"/>
      <c r="D93" s="1"/>
      <c r="E93" s="1"/>
      <c r="F93" s="1"/>
      <c r="G93" s="1"/>
      <c r="H93" s="1"/>
      <c r="I93" s="1"/>
      <c r="J93" s="1"/>
      <c r="K93" s="63"/>
      <c r="L93" s="1">
        <f t="shared" si="0"/>
        <v>0</v>
      </c>
      <c r="M93" s="1"/>
      <c r="N93" s="1">
        <v>620</v>
      </c>
      <c r="O93" s="55"/>
      <c r="P93" s="55"/>
      <c r="Q93" s="55"/>
      <c r="R93" s="55"/>
      <c r="S93" s="55"/>
      <c r="T93" s="55"/>
      <c r="U93" s="55"/>
      <c r="V93" s="55"/>
      <c r="W93" s="1"/>
      <c r="X93" s="1"/>
      <c r="Y93" s="55"/>
      <c r="Z93" s="55"/>
      <c r="AA93" s="55"/>
      <c r="AB93" s="1"/>
      <c r="AC93" s="1"/>
      <c r="AD93" s="55"/>
      <c r="AE93" s="1"/>
      <c r="AF93" s="1"/>
      <c r="AG93" s="1"/>
    </row>
    <row r="94" spans="1:33" ht="22.5" customHeight="1">
      <c r="A94" s="52" t="s">
        <v>233</v>
      </c>
      <c r="B94" s="1"/>
      <c r="C94" s="1"/>
      <c r="D94" s="1"/>
      <c r="E94" s="1"/>
      <c r="F94" s="1"/>
      <c r="G94" s="1"/>
      <c r="H94" s="1"/>
      <c r="I94" s="1"/>
      <c r="J94" s="1"/>
      <c r="K94" s="63"/>
      <c r="L94" s="1">
        <f t="shared" si="0"/>
        <v>0</v>
      </c>
      <c r="M94" s="1"/>
      <c r="N94" s="1">
        <v>560</v>
      </c>
      <c r="O94" s="55"/>
      <c r="P94" s="55"/>
      <c r="Q94" s="55"/>
      <c r="R94" s="55"/>
      <c r="S94" s="55"/>
      <c r="T94" s="55"/>
      <c r="U94" s="55"/>
      <c r="V94" s="55"/>
      <c r="W94" s="1"/>
      <c r="X94" s="1"/>
      <c r="Y94" s="55"/>
      <c r="Z94" s="55"/>
      <c r="AA94" s="55"/>
      <c r="AB94" s="1"/>
      <c r="AC94" s="1"/>
      <c r="AD94" s="55"/>
      <c r="AE94" s="1"/>
      <c r="AF94" s="1"/>
      <c r="AG94" s="1"/>
    </row>
    <row r="95" spans="1:33" ht="22.5" customHeight="1">
      <c r="A95" s="52" t="s">
        <v>234</v>
      </c>
      <c r="B95" s="1"/>
      <c r="C95" s="1"/>
      <c r="D95" s="1"/>
      <c r="E95" s="1"/>
      <c r="F95" s="1"/>
      <c r="G95" s="1"/>
      <c r="H95" s="1"/>
      <c r="I95" s="1"/>
      <c r="J95" s="1"/>
      <c r="K95" s="63"/>
      <c r="L95" s="1">
        <f t="shared" si="0"/>
        <v>0</v>
      </c>
      <c r="M95" s="1"/>
      <c r="N95" s="1">
        <v>444</v>
      </c>
      <c r="O95" s="55"/>
      <c r="P95" s="55"/>
      <c r="Q95" s="55"/>
      <c r="R95" s="55"/>
      <c r="S95" s="55"/>
      <c r="T95" s="55"/>
      <c r="U95" s="55"/>
      <c r="V95" s="55"/>
      <c r="W95" s="1"/>
      <c r="X95" s="1"/>
      <c r="Y95" s="55"/>
      <c r="Z95" s="55"/>
      <c r="AA95" s="55"/>
      <c r="AB95" s="1"/>
      <c r="AC95" s="1"/>
      <c r="AD95" s="55"/>
      <c r="AE95" s="1"/>
      <c r="AF95" s="1"/>
      <c r="AG95" s="1"/>
    </row>
    <row r="96" spans="1:33" ht="22.5" customHeight="1">
      <c r="A96" s="52" t="s">
        <v>235</v>
      </c>
      <c r="B96" s="1"/>
      <c r="C96" s="1"/>
      <c r="D96" s="1"/>
      <c r="E96" s="1"/>
      <c r="F96" s="1"/>
      <c r="G96" s="1"/>
      <c r="H96" s="1"/>
      <c r="I96" s="1"/>
      <c r="J96" s="1"/>
      <c r="K96" s="63"/>
      <c r="L96" s="1">
        <f t="shared" si="0"/>
        <v>0</v>
      </c>
      <c r="M96" s="1"/>
      <c r="N96" s="1">
        <v>928</v>
      </c>
      <c r="O96" s="55"/>
      <c r="P96" s="55"/>
      <c r="Q96" s="55"/>
      <c r="R96" s="55"/>
      <c r="S96" s="55"/>
      <c r="T96" s="55"/>
      <c r="U96" s="55"/>
      <c r="V96" s="55"/>
      <c r="W96" s="1"/>
      <c r="X96" s="1"/>
      <c r="Y96" s="55"/>
      <c r="Z96" s="55"/>
      <c r="AA96" s="55"/>
      <c r="AB96" s="1"/>
      <c r="AC96" s="1"/>
      <c r="AD96" s="55"/>
      <c r="AE96" s="1"/>
      <c r="AF96" s="1"/>
      <c r="AG96" s="1"/>
    </row>
    <row r="97" spans="1:33" ht="22.5" customHeight="1">
      <c r="A97" s="52" t="s">
        <v>236</v>
      </c>
      <c r="B97" s="1"/>
      <c r="C97" s="1"/>
      <c r="D97" s="1"/>
      <c r="E97" s="1"/>
      <c r="F97" s="1"/>
      <c r="G97" s="1"/>
      <c r="H97" s="1"/>
      <c r="I97" s="1"/>
      <c r="J97" s="1"/>
      <c r="K97" s="63"/>
      <c r="L97" s="1">
        <f t="shared" si="0"/>
        <v>0</v>
      </c>
      <c r="M97" s="1"/>
      <c r="N97" s="1">
        <v>772</v>
      </c>
      <c r="O97" s="55"/>
      <c r="P97" s="55"/>
      <c r="Q97" s="55"/>
      <c r="R97" s="55"/>
      <c r="S97" s="55"/>
      <c r="T97" s="55"/>
      <c r="U97" s="55"/>
      <c r="V97" s="55"/>
      <c r="W97" s="1"/>
      <c r="X97" s="1"/>
      <c r="Y97" s="55"/>
      <c r="Z97" s="55"/>
      <c r="AA97" s="55"/>
      <c r="AB97" s="1"/>
      <c r="AC97" s="1"/>
      <c r="AD97" s="55"/>
      <c r="AE97" s="1"/>
      <c r="AF97" s="1"/>
      <c r="AG97" s="1"/>
    </row>
    <row r="98" spans="1:33" ht="22.5" customHeight="1">
      <c r="A98" s="52" t="s">
        <v>237</v>
      </c>
      <c r="B98" s="1"/>
      <c r="C98" s="1"/>
      <c r="D98" s="1"/>
      <c r="E98" s="1"/>
      <c r="F98" s="1"/>
      <c r="G98" s="1"/>
      <c r="H98" s="1"/>
      <c r="I98" s="1"/>
      <c r="J98" s="1"/>
      <c r="K98" s="63"/>
      <c r="L98" s="1">
        <f t="shared" si="0"/>
        <v>0</v>
      </c>
      <c r="M98" s="1"/>
      <c r="N98" s="1">
        <v>428</v>
      </c>
      <c r="O98" s="55"/>
      <c r="P98" s="55"/>
      <c r="Q98" s="55"/>
      <c r="R98" s="55"/>
      <c r="S98" s="55"/>
      <c r="T98" s="55"/>
      <c r="U98" s="55"/>
      <c r="V98" s="55"/>
      <c r="W98" s="1"/>
      <c r="X98" s="1"/>
      <c r="Y98" s="55"/>
      <c r="Z98" s="55"/>
      <c r="AA98" s="55"/>
      <c r="AB98" s="1"/>
      <c r="AC98" s="1"/>
      <c r="AD98" s="55"/>
      <c r="AE98" s="1"/>
      <c r="AF98" s="1"/>
      <c r="AG98" s="1"/>
    </row>
    <row r="99" spans="1:33" ht="22.5" customHeight="1">
      <c r="A99" s="52" t="s">
        <v>238</v>
      </c>
      <c r="B99" s="1"/>
      <c r="C99" s="1"/>
      <c r="D99" s="1"/>
      <c r="E99" s="1"/>
      <c r="F99" s="1"/>
      <c r="G99" s="1"/>
      <c r="H99" s="1"/>
      <c r="I99" s="1"/>
      <c r="J99" s="1"/>
      <c r="K99" s="63"/>
      <c r="L99" s="1">
        <f t="shared" si="0"/>
        <v>0</v>
      </c>
      <c r="M99" s="1"/>
      <c r="N99" s="1">
        <v>540</v>
      </c>
      <c r="O99" s="55"/>
      <c r="P99" s="55"/>
      <c r="Q99" s="55"/>
      <c r="R99" s="55"/>
      <c r="S99" s="55"/>
      <c r="T99" s="55"/>
      <c r="U99" s="55"/>
      <c r="V99" s="55"/>
      <c r="W99" s="1"/>
      <c r="X99" s="1"/>
      <c r="Y99" s="55"/>
      <c r="Z99" s="55"/>
      <c r="AA99" s="55"/>
      <c r="AB99" s="1"/>
      <c r="AC99" s="1"/>
      <c r="AD99" s="55"/>
      <c r="AE99" s="1"/>
      <c r="AF99" s="1"/>
      <c r="AG99" s="1"/>
    </row>
    <row r="100" spans="1:33" ht="22.5" customHeight="1">
      <c r="A100" s="52" t="s">
        <v>239</v>
      </c>
      <c r="B100" s="1"/>
      <c r="C100" s="1"/>
      <c r="D100" s="1"/>
      <c r="E100" s="1"/>
      <c r="F100" s="1"/>
      <c r="G100" s="1"/>
      <c r="H100" s="1"/>
      <c r="I100" s="1"/>
      <c r="J100" s="1"/>
      <c r="K100" s="63"/>
      <c r="L100" s="1">
        <f t="shared" si="0"/>
        <v>0</v>
      </c>
      <c r="M100" s="1"/>
      <c r="N100" s="1">
        <v>372</v>
      </c>
      <c r="O100" s="55"/>
      <c r="P100" s="55"/>
      <c r="Q100" s="55"/>
      <c r="R100" s="55"/>
      <c r="S100" s="55"/>
      <c r="T100" s="55"/>
      <c r="U100" s="55"/>
      <c r="V100" s="55"/>
      <c r="W100" s="1"/>
      <c r="X100" s="1"/>
      <c r="Y100" s="55"/>
      <c r="Z100" s="55"/>
      <c r="AA100" s="55"/>
      <c r="AB100" s="1"/>
      <c r="AC100" s="1"/>
      <c r="AD100" s="55"/>
      <c r="AE100" s="1"/>
      <c r="AF100" s="1"/>
      <c r="AG100" s="1"/>
    </row>
    <row r="101" spans="1:33" ht="22.5" customHeight="1">
      <c r="A101" s="52" t="s">
        <v>240</v>
      </c>
      <c r="B101" s="1"/>
      <c r="C101" s="1"/>
      <c r="D101" s="1"/>
      <c r="E101" s="1"/>
      <c r="F101" s="1"/>
      <c r="G101" s="1"/>
      <c r="H101" s="1"/>
      <c r="I101" s="1"/>
      <c r="J101" s="1"/>
      <c r="K101" s="63"/>
      <c r="L101" s="1">
        <f t="shared" si="0"/>
        <v>0</v>
      </c>
      <c r="M101" s="1"/>
      <c r="N101" s="1">
        <v>248</v>
      </c>
      <c r="O101" s="55"/>
      <c r="P101" s="55"/>
      <c r="Q101" s="55"/>
      <c r="R101" s="55"/>
      <c r="S101" s="55"/>
      <c r="T101" s="55"/>
      <c r="U101" s="55"/>
      <c r="V101" s="55"/>
      <c r="W101" s="1"/>
      <c r="X101" s="1"/>
      <c r="Y101" s="55"/>
      <c r="Z101" s="55"/>
      <c r="AA101" s="55"/>
      <c r="AB101" s="1"/>
      <c r="AC101" s="1"/>
      <c r="AD101" s="55"/>
      <c r="AE101" s="1"/>
      <c r="AF101" s="1"/>
      <c r="AG101" s="1"/>
    </row>
    <row r="102" spans="1:33" ht="22.5" customHeight="1">
      <c r="A102" s="52" t="s">
        <v>241</v>
      </c>
      <c r="B102" s="1"/>
      <c r="C102" s="1"/>
      <c r="D102" s="1"/>
      <c r="E102" s="1"/>
      <c r="F102" s="1"/>
      <c r="G102" s="1"/>
      <c r="H102" s="1"/>
      <c r="I102" s="1"/>
      <c r="J102" s="1"/>
      <c r="K102" s="63"/>
      <c r="L102" s="1">
        <f t="shared" si="0"/>
        <v>0</v>
      </c>
      <c r="M102" s="1"/>
      <c r="N102" s="1">
        <v>173</v>
      </c>
      <c r="O102" s="55"/>
      <c r="P102" s="55"/>
      <c r="Q102" s="55"/>
      <c r="R102" s="55"/>
      <c r="S102" s="55"/>
      <c r="T102" s="55"/>
      <c r="U102" s="55"/>
      <c r="V102" s="55"/>
      <c r="W102" s="1"/>
      <c r="X102" s="1"/>
      <c r="Y102" s="55"/>
      <c r="Z102" s="55"/>
      <c r="AA102" s="55"/>
      <c r="AB102" s="1"/>
      <c r="AC102" s="1"/>
      <c r="AD102" s="55"/>
      <c r="AE102" s="1"/>
      <c r="AF102" s="1"/>
      <c r="AG102" s="1"/>
    </row>
    <row r="103" spans="1:33" ht="22.5" customHeight="1">
      <c r="A103" s="52" t="s">
        <v>242</v>
      </c>
      <c r="B103" s="1"/>
      <c r="C103" s="1"/>
      <c r="D103" s="1"/>
      <c r="E103" s="1"/>
      <c r="F103" s="1"/>
      <c r="G103" s="1"/>
      <c r="H103" s="1"/>
      <c r="I103" s="1"/>
      <c r="J103" s="1"/>
      <c r="K103" s="63"/>
      <c r="L103" s="1">
        <f t="shared" si="0"/>
        <v>0</v>
      </c>
      <c r="M103" s="1"/>
      <c r="N103" s="1">
        <v>158</v>
      </c>
      <c r="O103" s="55"/>
      <c r="P103" s="55"/>
      <c r="Q103" s="55"/>
      <c r="R103" s="55"/>
      <c r="S103" s="55"/>
      <c r="T103" s="55"/>
      <c r="U103" s="55"/>
      <c r="V103" s="55"/>
      <c r="W103" s="1"/>
      <c r="X103" s="1"/>
      <c r="Y103" s="55"/>
      <c r="Z103" s="55"/>
      <c r="AA103" s="55"/>
      <c r="AB103" s="1"/>
      <c r="AC103" s="1"/>
      <c r="AD103" s="55"/>
      <c r="AE103" s="1"/>
      <c r="AF103" s="1"/>
      <c r="AG103" s="1"/>
    </row>
    <row r="104" spans="1:33" ht="22.5" customHeight="1">
      <c r="A104" s="52" t="s">
        <v>243</v>
      </c>
      <c r="B104" s="1"/>
      <c r="C104" s="1"/>
      <c r="D104" s="1"/>
      <c r="E104" s="1"/>
      <c r="F104" s="1"/>
      <c r="G104" s="1"/>
      <c r="H104" s="1"/>
      <c r="I104" s="1"/>
      <c r="J104" s="1"/>
      <c r="K104" s="63"/>
      <c r="L104" s="1">
        <f t="shared" si="0"/>
        <v>0</v>
      </c>
      <c r="M104" s="1"/>
      <c r="N104" s="1">
        <v>662</v>
      </c>
      <c r="O104" s="55"/>
      <c r="P104" s="55"/>
      <c r="Q104" s="55"/>
      <c r="R104" s="55"/>
      <c r="S104" s="55"/>
      <c r="T104" s="55"/>
      <c r="U104" s="55"/>
      <c r="V104" s="55"/>
      <c r="W104" s="1"/>
      <c r="X104" s="1"/>
      <c r="Y104" s="55"/>
      <c r="Z104" s="55"/>
      <c r="AA104" s="55"/>
      <c r="AB104" s="1"/>
      <c r="AC104" s="1"/>
      <c r="AD104" s="55"/>
      <c r="AE104" s="1"/>
      <c r="AF104" s="1"/>
      <c r="AG104" s="1"/>
    </row>
    <row r="105" spans="1:33" ht="22.5" customHeight="1">
      <c r="A105" s="52" t="s">
        <v>244</v>
      </c>
      <c r="B105" s="1"/>
      <c r="C105" s="1"/>
      <c r="D105" s="1"/>
      <c r="E105" s="1"/>
      <c r="F105" s="1"/>
      <c r="G105" s="1"/>
      <c r="H105" s="1"/>
      <c r="I105" s="1"/>
      <c r="J105" s="1"/>
      <c r="K105" s="63"/>
      <c r="L105" s="1">
        <f t="shared" si="0"/>
        <v>0</v>
      </c>
      <c r="M105" s="1"/>
      <c r="N105" s="1">
        <v>1088</v>
      </c>
      <c r="O105" s="55"/>
      <c r="P105" s="55"/>
      <c r="Q105" s="55"/>
      <c r="R105" s="55"/>
      <c r="S105" s="55"/>
      <c r="T105" s="55"/>
      <c r="U105" s="55"/>
      <c r="V105" s="55"/>
      <c r="W105" s="1"/>
      <c r="X105" s="1"/>
      <c r="Y105" s="55"/>
      <c r="Z105" s="55"/>
      <c r="AA105" s="55"/>
      <c r="AB105" s="1"/>
      <c r="AC105" s="1"/>
      <c r="AD105" s="55"/>
      <c r="AE105" s="1"/>
      <c r="AF105" s="1"/>
      <c r="AG105" s="1"/>
    </row>
    <row r="106" spans="1:33" ht="22.5" customHeight="1">
      <c r="A106" s="52" t="s">
        <v>245</v>
      </c>
      <c r="B106" s="1"/>
      <c r="C106" s="1"/>
      <c r="D106" s="1"/>
      <c r="E106" s="1"/>
      <c r="F106" s="1"/>
      <c r="G106" s="1"/>
      <c r="H106" s="1"/>
      <c r="I106" s="1"/>
      <c r="J106" s="1"/>
      <c r="K106" s="63"/>
      <c r="L106" s="1">
        <f t="shared" si="0"/>
        <v>0</v>
      </c>
      <c r="M106" s="1"/>
      <c r="N106" s="1">
        <v>608</v>
      </c>
      <c r="O106" s="55"/>
      <c r="P106" s="55"/>
      <c r="Q106" s="55"/>
      <c r="R106" s="55"/>
      <c r="S106" s="55"/>
      <c r="T106" s="55"/>
      <c r="U106" s="55"/>
      <c r="V106" s="55"/>
      <c r="W106" s="1"/>
      <c r="X106" s="1"/>
      <c r="Y106" s="55"/>
      <c r="Z106" s="55"/>
      <c r="AA106" s="55"/>
      <c r="AB106" s="1"/>
      <c r="AC106" s="1"/>
      <c r="AD106" s="55"/>
      <c r="AE106" s="1"/>
      <c r="AF106" s="1"/>
      <c r="AG106" s="1"/>
    </row>
    <row r="107" spans="1:33" ht="22.5" customHeight="1">
      <c r="A107" s="52" t="s">
        <v>246</v>
      </c>
      <c r="B107" s="1"/>
      <c r="C107" s="1"/>
      <c r="D107" s="1"/>
      <c r="E107" s="1"/>
      <c r="F107" s="1"/>
      <c r="G107" s="1"/>
      <c r="H107" s="1"/>
      <c r="I107" s="1"/>
      <c r="J107" s="1"/>
      <c r="K107" s="63"/>
      <c r="L107" s="1">
        <f t="shared" si="0"/>
        <v>0</v>
      </c>
      <c r="M107" s="1"/>
      <c r="N107" s="1">
        <v>714</v>
      </c>
      <c r="O107" s="55"/>
      <c r="P107" s="55"/>
      <c r="Q107" s="55"/>
      <c r="R107" s="55"/>
      <c r="S107" s="55"/>
      <c r="T107" s="55"/>
      <c r="U107" s="55"/>
      <c r="V107" s="55"/>
      <c r="W107" s="1"/>
      <c r="X107" s="1"/>
      <c r="Y107" s="55"/>
      <c r="Z107" s="55"/>
      <c r="AA107" s="55"/>
      <c r="AB107" s="1"/>
      <c r="AC107" s="1"/>
      <c r="AD107" s="55"/>
      <c r="AE107" s="1"/>
      <c r="AF107" s="1"/>
      <c r="AG107" s="1"/>
    </row>
    <row r="108" spans="1:33" ht="22.5" customHeight="1">
      <c r="A108" s="52" t="s">
        <v>247</v>
      </c>
      <c r="B108" s="1"/>
      <c r="C108" s="1"/>
      <c r="D108" s="1"/>
      <c r="E108" s="1"/>
      <c r="F108" s="1"/>
      <c r="G108" s="1"/>
      <c r="H108" s="1"/>
      <c r="I108" s="1"/>
      <c r="J108" s="1"/>
      <c r="K108" s="63"/>
      <c r="L108" s="1">
        <f t="shared" si="0"/>
        <v>0</v>
      </c>
      <c r="M108" s="1"/>
      <c r="N108" s="1">
        <v>816</v>
      </c>
      <c r="O108" s="55"/>
      <c r="P108" s="55"/>
      <c r="Q108" s="55"/>
      <c r="R108" s="55"/>
      <c r="S108" s="55"/>
      <c r="T108" s="55"/>
      <c r="U108" s="55"/>
      <c r="V108" s="55"/>
      <c r="W108" s="1"/>
      <c r="X108" s="1"/>
      <c r="Y108" s="55"/>
      <c r="Z108" s="55"/>
      <c r="AA108" s="55"/>
      <c r="AB108" s="1"/>
      <c r="AC108" s="1"/>
      <c r="AD108" s="55"/>
      <c r="AE108" s="1"/>
      <c r="AF108" s="1"/>
      <c r="AG108" s="1"/>
    </row>
    <row r="109" spans="1:33" ht="22.5" customHeight="1">
      <c r="A109" s="52" t="s">
        <v>248</v>
      </c>
      <c r="B109" s="1"/>
      <c r="C109" s="1"/>
      <c r="D109" s="1"/>
      <c r="E109" s="1"/>
      <c r="F109" s="1"/>
      <c r="G109" s="1"/>
      <c r="H109" s="1"/>
      <c r="I109" s="1"/>
      <c r="J109" s="1"/>
      <c r="K109" s="63"/>
      <c r="L109" s="1">
        <f t="shared" si="0"/>
        <v>0</v>
      </c>
      <c r="M109" s="1"/>
      <c r="N109" s="1">
        <v>988</v>
      </c>
      <c r="O109" s="55"/>
      <c r="P109" s="55"/>
      <c r="Q109" s="55"/>
      <c r="R109" s="55"/>
      <c r="S109" s="55"/>
      <c r="T109" s="55"/>
      <c r="U109" s="55"/>
      <c r="V109" s="55"/>
      <c r="W109" s="1"/>
      <c r="X109" s="1"/>
      <c r="Y109" s="55"/>
      <c r="Z109" s="55"/>
      <c r="AA109" s="55"/>
      <c r="AB109" s="1"/>
      <c r="AC109" s="1"/>
      <c r="AD109" s="55"/>
      <c r="AE109" s="1"/>
      <c r="AF109" s="1"/>
      <c r="AG109" s="1"/>
    </row>
  </sheetData>
  <mergeCells count="3">
    <mergeCell ref="N1:W1"/>
    <mergeCell ref="X1:AA1"/>
    <mergeCell ref="AB1:AD1"/>
  </mergeCells>
  <phoneticPr fontId="43" type="noConversion"/>
  <conditionalFormatting sqref="N3:W109 AB3:AC109">
    <cfRule type="expression" dxfId="2" priority="1">
      <formula>N3 &gt;= PERCENTILE(N:N, 0.95)</formula>
    </cfRule>
    <cfRule type="expression" dxfId="1" priority="2">
      <formula>N3 &gt;= PERCENTILE(N:N, 0.8)</formula>
    </cfRule>
  </conditionalFormatting>
  <dataValidations count="5">
    <dataValidation type="list" allowBlank="1" sqref="G3:G109" xr:uid="{00000000-0002-0000-0300-000000000000}">
      <formula1>"pdf,epub,기타"</formula1>
    </dataValidation>
    <dataValidation type="list" allowBlank="1" sqref="AF3:AF109 M3:M109" xr:uid="{00000000-0002-0000-0300-000001000000}">
      <formula1>#REF!</formula1>
    </dataValidation>
    <dataValidation type="custom" allowBlank="1" showDropDown="1" sqref="I3:L109 N3:N109 Q3:S109 U3:U109" xr:uid="{00000000-0002-0000-0300-000002000000}">
      <formula1>AND(ISNUMBER(I3),(NOT(OR(NOT(ISERROR(DATEVALUE(I3))), AND(ISNUMBER(I3), LEFT(CELL("format", I3))="D")))))</formula1>
    </dataValidation>
    <dataValidation type="list" allowBlank="1" sqref="H3:H109" xr:uid="{00000000-0002-0000-0300-000004000000}">
      <formula1>"옵션 1,옵션 2"</formula1>
    </dataValidation>
    <dataValidation type="list" allowBlank="1" sqref="AE3:AE109" xr:uid="{00000000-0002-0000-0300-000005000000}">
      <formula1>"다단 도서,일부 존재,없음"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25" defaultRowHeight="15.75" customHeight="1"/>
  <cols>
    <col min="1" max="1" width="12.625" customWidth="1"/>
    <col min="2" max="2" width="13.125" customWidth="1"/>
    <col min="3" max="3" width="15" customWidth="1"/>
    <col min="4" max="4" width="11.875" customWidth="1"/>
    <col min="5" max="5" width="13.5" customWidth="1"/>
    <col min="6" max="8" width="16.25" customWidth="1"/>
    <col min="9" max="9" width="17.75" customWidth="1"/>
    <col min="10" max="10" width="16" customWidth="1"/>
    <col min="11" max="11" width="13.75" customWidth="1"/>
    <col min="12" max="13" width="16.25" customWidth="1"/>
    <col min="14" max="14" width="16.875" customWidth="1"/>
    <col min="15" max="15" width="15.125" customWidth="1"/>
    <col min="16" max="16" width="15" customWidth="1"/>
    <col min="17" max="17" width="15.75" customWidth="1"/>
    <col min="18" max="18" width="18" customWidth="1"/>
    <col min="19" max="20" width="13.5" customWidth="1"/>
    <col min="21" max="21" width="15" customWidth="1"/>
    <col min="22" max="23" width="19.75" customWidth="1"/>
    <col min="24" max="24" width="17" customWidth="1"/>
    <col min="25" max="25" width="19.75" customWidth="1"/>
    <col min="26" max="26" width="13.5" customWidth="1"/>
    <col min="27" max="27" width="34.375" customWidth="1"/>
  </cols>
  <sheetData>
    <row r="1" spans="1:27" ht="22.5" customHeight="1">
      <c r="A1" s="66" t="s">
        <v>95</v>
      </c>
      <c r="B1" s="66" t="s">
        <v>96</v>
      </c>
      <c r="C1" s="66" t="s">
        <v>106</v>
      </c>
      <c r="D1" s="67" t="s">
        <v>126</v>
      </c>
      <c r="E1" s="66" t="s">
        <v>107</v>
      </c>
      <c r="F1" s="66" t="s">
        <v>264</v>
      </c>
      <c r="G1" s="66" t="s">
        <v>265</v>
      </c>
      <c r="H1" s="66" t="s">
        <v>266</v>
      </c>
      <c r="I1" s="66" t="s">
        <v>267</v>
      </c>
      <c r="J1" s="66" t="s">
        <v>268</v>
      </c>
      <c r="K1" s="66" t="s">
        <v>269</v>
      </c>
      <c r="L1" s="68" t="s">
        <v>270</v>
      </c>
      <c r="M1" s="68" t="s">
        <v>271</v>
      </c>
      <c r="N1" s="68" t="s">
        <v>272</v>
      </c>
      <c r="O1" s="68" t="s">
        <v>273</v>
      </c>
      <c r="P1" s="68" t="s">
        <v>274</v>
      </c>
      <c r="Q1" s="68" t="s">
        <v>275</v>
      </c>
      <c r="R1" s="68" t="s">
        <v>276</v>
      </c>
      <c r="S1" s="66" t="s">
        <v>277</v>
      </c>
      <c r="T1" s="66" t="s">
        <v>278</v>
      </c>
      <c r="U1" s="66" t="s">
        <v>279</v>
      </c>
      <c r="V1" s="66" t="s">
        <v>280</v>
      </c>
      <c r="W1" s="66" t="s">
        <v>281</v>
      </c>
      <c r="X1" s="66" t="s">
        <v>282</v>
      </c>
      <c r="Y1" s="66" t="s">
        <v>283</v>
      </c>
      <c r="Z1" s="68" t="s">
        <v>284</v>
      </c>
      <c r="AA1" s="68" t="s">
        <v>285</v>
      </c>
    </row>
    <row r="2" spans="1:27" ht="22.5" customHeight="1">
      <c r="A2" s="1" t="str">
        <f>'2. 도서 정보'!A3</f>
        <v>SS0001</v>
      </c>
      <c r="B2" s="1" t="e">
        <f t="array" aca="1" ref="B2" ca="1">_xludf.XLOOKUP($A2,도서_정보[ID],도서_정보[도서명],"")</f>
        <v>#NAME?</v>
      </c>
      <c r="C2" s="1" t="e">
        <f t="array" aca="1" ref="C2" ca="1">_xludf.XLOOKUP($A2,도서_정보[ID],도서_정보[작업 페이지],"")</f>
        <v>#NAME?</v>
      </c>
      <c r="D2" s="1" t="e">
        <f t="array" aca="1" ref="D2" ca="1">_xludf.XLOOKUP($A2,도서_정보[ID],도서_정보[난이도],"")</f>
        <v>#NAME?</v>
      </c>
      <c r="E2" s="1" t="e">
        <f t="array" aca="1" ref="E2" ca="1">_xludf.XLOOKUP($A2,도서_정보[ID],도서_정보[추출 방식],"")</f>
        <v>#NAME?</v>
      </c>
      <c r="F2" s="69">
        <v>46094.685193518519</v>
      </c>
      <c r="G2" s="69">
        <v>46094.660231909722</v>
      </c>
      <c r="H2" s="1" t="s">
        <v>286</v>
      </c>
      <c r="I2" s="1" t="s">
        <v>287</v>
      </c>
      <c r="J2" s="1" t="s">
        <v>84</v>
      </c>
      <c r="K2" s="69">
        <v>46094.66031501157</v>
      </c>
      <c r="L2" s="69">
        <v>46094.660322372685</v>
      </c>
      <c r="M2" s="1" t="s">
        <v>288</v>
      </c>
      <c r="N2" s="1" t="s">
        <v>289</v>
      </c>
      <c r="O2" s="1" t="s">
        <v>84</v>
      </c>
      <c r="P2" s="69">
        <v>46094.660776817131</v>
      </c>
      <c r="Q2" s="69">
        <v>46094.660790960646</v>
      </c>
      <c r="R2" s="1" t="s">
        <v>289</v>
      </c>
      <c r="S2" s="1" t="s">
        <v>290</v>
      </c>
      <c r="T2" s="70" t="b">
        <v>0</v>
      </c>
      <c r="U2" s="1"/>
      <c r="V2" s="1"/>
      <c r="W2" s="1" t="s">
        <v>87</v>
      </c>
      <c r="X2" s="71" t="e">
        <f t="array" aca="1" ref="X2" ca="1">_xludf.XLOOKUP(A2,'WER 로그'!A:A,'WER 로그'!I:I,"")</f>
        <v>#NAME?</v>
      </c>
      <c r="Y2" s="70" t="e">
        <f t="array" aca="1" ref="Y2" ca="1">IF(AND(_xludf.XLOOKUP(A2,'5. 납품 전 체크리스트'!A:A,'5. 납품 전 체크리스트'!D:M,"",0)),TRUE,FALSE)</f>
        <v>#NAME?</v>
      </c>
      <c r="Z2" s="1" t="s">
        <v>291</v>
      </c>
    </row>
    <row r="3" spans="1:27" ht="22.5" customHeight="1">
      <c r="A3" s="1" t="str">
        <f>'2. 도서 정보'!A4</f>
        <v>SS0002</v>
      </c>
      <c r="B3" s="1" t="e">
        <f t="array" aca="1" ref="B3" ca="1">_xludf.XLOOKUP($A3,도서_정보[ID],도서_정보[도서명],"")</f>
        <v>#NAME?</v>
      </c>
      <c r="C3" s="1" t="e">
        <f t="array" aca="1" ref="C3" ca="1">_xludf.XLOOKUP($A3,도서_정보[ID],도서_정보[작업 페이지],"")</f>
        <v>#NAME?</v>
      </c>
      <c r="D3" s="1" t="e">
        <f t="array" aca="1" ref="D3" ca="1">_xludf.XLOOKUP($A3,도서_정보[ID],도서_정보[난이도],"")</f>
        <v>#NAME?</v>
      </c>
      <c r="E3" s="1" t="e">
        <f t="array" aca="1" ref="E3" ca="1">_xludf.XLOOKUP($A3,도서_정보[ID],도서_정보[추출 방식],"")</f>
        <v>#NAME?</v>
      </c>
      <c r="F3" s="69"/>
      <c r="G3" s="69"/>
      <c r="H3" s="1"/>
      <c r="I3" s="1"/>
      <c r="J3" s="1"/>
      <c r="K3" s="69"/>
      <c r="L3" s="69"/>
      <c r="M3" s="1"/>
      <c r="N3" s="1"/>
      <c r="O3" s="1"/>
      <c r="P3" s="1"/>
      <c r="Q3" s="69"/>
      <c r="R3" s="1"/>
      <c r="S3" s="1" t="s">
        <v>290</v>
      </c>
      <c r="T3" s="70" t="b">
        <v>0</v>
      </c>
      <c r="U3" s="1"/>
      <c r="V3" s="1"/>
      <c r="W3" s="1"/>
      <c r="X3" s="71" t="e">
        <f t="array" aca="1" ref="X3" ca="1">_xludf.XLOOKUP(A3,'WER 로그'!A:A,'WER 로그'!I:I,"")</f>
        <v>#NAME?</v>
      </c>
      <c r="Y3" s="70" t="e">
        <f t="array" aca="1" ref="Y3" ca="1">IF(AND(_xludf.XLOOKUP(A3,'5. 납품 전 체크리스트'!A:A,'5. 납품 전 체크리스트'!D:M,"",0)),TRUE,FALSE)</f>
        <v>#NAME?</v>
      </c>
      <c r="Z3" s="1" t="s">
        <v>292</v>
      </c>
    </row>
    <row r="4" spans="1:27" ht="22.5" customHeight="1">
      <c r="A4" s="1" t="str">
        <f>'2. 도서 정보'!A5</f>
        <v>SS0003</v>
      </c>
      <c r="B4" s="1" t="e">
        <f t="array" aca="1" ref="B4" ca="1">_xludf.XLOOKUP($A4,도서_정보[ID],도서_정보[도서명],"")</f>
        <v>#NAME?</v>
      </c>
      <c r="C4" s="1" t="e">
        <f t="array" aca="1" ref="C4" ca="1">_xludf.XLOOKUP($A4,도서_정보[ID],도서_정보[작업 페이지],"")</f>
        <v>#NAME?</v>
      </c>
      <c r="D4" s="1" t="e">
        <f t="array" aca="1" ref="D4" ca="1">_xludf.XLOOKUP($A4,도서_정보[ID],도서_정보[난이도],"")</f>
        <v>#NAME?</v>
      </c>
      <c r="E4" s="1" t="e">
        <f t="array" aca="1" ref="E4" ca="1">_xludf.XLOOKUP($A4,도서_정보[ID],도서_정보[추출 방식],"")</f>
        <v>#NAME?</v>
      </c>
      <c r="F4" s="69"/>
      <c r="G4" s="69"/>
      <c r="H4" s="1"/>
      <c r="I4" s="1"/>
      <c r="J4" s="1"/>
      <c r="K4" s="69"/>
      <c r="L4" s="69"/>
      <c r="M4" s="1"/>
      <c r="N4" s="1"/>
      <c r="O4" s="1"/>
      <c r="P4" s="1"/>
      <c r="Q4" s="69"/>
      <c r="R4" s="1"/>
      <c r="S4" s="1" t="s">
        <v>290</v>
      </c>
      <c r="T4" s="70" t="b">
        <v>0</v>
      </c>
      <c r="U4" s="1"/>
      <c r="V4" s="1"/>
      <c r="W4" s="1"/>
      <c r="X4" s="71" t="e">
        <f t="array" aca="1" ref="X4" ca="1">_xludf.XLOOKUP(A4,'WER 로그'!A:A,'WER 로그'!I:I,"")</f>
        <v>#NAME?</v>
      </c>
      <c r="Y4" s="70" t="e">
        <f t="array" aca="1" ref="Y4" ca="1">IF(AND(_xludf.XLOOKUP(A4,'5. 납품 전 체크리스트'!A:A,'5. 납품 전 체크리스트'!D:M,"",0)),TRUE,FALSE)</f>
        <v>#NAME?</v>
      </c>
      <c r="Z4" s="1"/>
    </row>
    <row r="5" spans="1:27" ht="22.5" customHeight="1">
      <c r="A5" s="1" t="str">
        <f>'2. 도서 정보'!A6</f>
        <v>SS0004</v>
      </c>
      <c r="B5" s="1" t="e">
        <f t="array" aca="1" ref="B5" ca="1">_xludf.XLOOKUP($A5,도서_정보[ID],도서_정보[도서명],"")</f>
        <v>#NAME?</v>
      </c>
      <c r="C5" s="1" t="e">
        <f t="array" aca="1" ref="C5" ca="1">_xludf.XLOOKUP($A5,도서_정보[ID],도서_정보[작업 페이지],"")</f>
        <v>#NAME?</v>
      </c>
      <c r="D5" s="1" t="e">
        <f t="array" aca="1" ref="D5" ca="1">_xludf.XLOOKUP($A5,도서_정보[ID],도서_정보[난이도],"")</f>
        <v>#NAME?</v>
      </c>
      <c r="E5" s="1" t="e">
        <f t="array" aca="1" ref="E5" ca="1">_xludf.XLOOKUP($A5,도서_정보[ID],도서_정보[추출 방식],"")</f>
        <v>#NAME?</v>
      </c>
      <c r="F5" s="69"/>
      <c r="G5" s="69"/>
      <c r="H5" s="1"/>
      <c r="I5" s="1"/>
      <c r="J5" s="1"/>
      <c r="K5" s="69"/>
      <c r="L5" s="69"/>
      <c r="M5" s="1"/>
      <c r="N5" s="1"/>
      <c r="O5" s="1"/>
      <c r="P5" s="69"/>
      <c r="Q5" s="69"/>
      <c r="R5" s="1"/>
      <c r="S5" s="1"/>
      <c r="T5" s="70" t="b">
        <v>0</v>
      </c>
      <c r="U5" s="1"/>
      <c r="V5" s="1"/>
      <c r="W5" s="1"/>
      <c r="X5" s="71" t="e">
        <f t="array" aca="1" ref="X5" ca="1">_xludf.XLOOKUP(A5,'WER 로그'!A:A,'WER 로그'!I:I,"")</f>
        <v>#NAME?</v>
      </c>
      <c r="Y5" s="70" t="e">
        <f t="array" aca="1" ref="Y5" ca="1">IF(AND(_xludf.XLOOKUP(A5,'5. 납품 전 체크리스트'!A:A,'5. 납품 전 체크리스트'!D:M,"",0)),TRUE,FALSE)</f>
        <v>#NAME?</v>
      </c>
      <c r="Z5" s="1"/>
    </row>
    <row r="6" spans="1:27" ht="22.5" customHeight="1">
      <c r="A6" s="1" t="str">
        <f>'2. 도서 정보'!A7</f>
        <v>SS0005</v>
      </c>
      <c r="B6" s="1" t="e">
        <f t="array" aca="1" ref="B6" ca="1">_xludf.XLOOKUP($A6,도서_정보[ID],도서_정보[도서명],"")</f>
        <v>#NAME?</v>
      </c>
      <c r="C6" s="1" t="e">
        <f t="array" aca="1" ref="C6" ca="1">_xludf.XLOOKUP($A6,도서_정보[ID],도서_정보[작업 페이지],"")</f>
        <v>#NAME?</v>
      </c>
      <c r="D6" s="1" t="e">
        <f t="array" aca="1" ref="D6" ca="1">_xludf.XLOOKUP($A6,도서_정보[ID],도서_정보[난이도],"")</f>
        <v>#NAME?</v>
      </c>
      <c r="E6" s="1" t="e">
        <f t="array" aca="1" ref="E6" ca="1">_xludf.XLOOKUP($A6,도서_정보[ID],도서_정보[추출 방식],"")</f>
        <v>#NAME?</v>
      </c>
      <c r="F6" s="69"/>
      <c r="G6" s="69"/>
      <c r="H6" s="1"/>
      <c r="I6" s="1"/>
      <c r="J6" s="1"/>
      <c r="K6" s="69"/>
      <c r="L6" s="69"/>
      <c r="M6" s="1"/>
      <c r="N6" s="1"/>
      <c r="O6" s="1"/>
      <c r="P6" s="69"/>
      <c r="Q6" s="69"/>
      <c r="R6" s="1"/>
      <c r="S6" s="1"/>
      <c r="T6" s="70" t="b">
        <v>0</v>
      </c>
      <c r="U6" s="1"/>
      <c r="V6" s="1"/>
      <c r="W6" s="1"/>
      <c r="X6" s="71" t="e">
        <f t="array" aca="1" ref="X6" ca="1">_xludf.XLOOKUP(A6,'WER 로그'!A:A,'WER 로그'!I:I,"")</f>
        <v>#NAME?</v>
      </c>
      <c r="Y6" s="70" t="e">
        <f t="array" aca="1" ref="Y6" ca="1">IF(AND(_xludf.XLOOKUP(A6,'5. 납품 전 체크리스트'!A:A,'5. 납품 전 체크리스트'!D:M,"",0)),TRUE,FALSE)</f>
        <v>#NAME?</v>
      </c>
      <c r="Z6" s="1"/>
    </row>
    <row r="7" spans="1:27" ht="22.5" customHeight="1">
      <c r="A7" s="1" t="str">
        <f>'2. 도서 정보'!A8</f>
        <v>SS0006</v>
      </c>
      <c r="B7" s="1" t="e">
        <f t="array" aca="1" ref="B7" ca="1">_xludf.XLOOKUP($A7,도서_정보[ID],도서_정보[도서명],"")</f>
        <v>#NAME?</v>
      </c>
      <c r="C7" s="1" t="e">
        <f t="array" aca="1" ref="C7" ca="1">_xludf.XLOOKUP($A7,도서_정보[ID],도서_정보[작업 페이지],"")</f>
        <v>#NAME?</v>
      </c>
      <c r="D7" s="1" t="e">
        <f t="array" aca="1" ref="D7" ca="1">_xludf.XLOOKUP($A7,도서_정보[ID],도서_정보[난이도],"")</f>
        <v>#NAME?</v>
      </c>
      <c r="E7" s="1" t="e">
        <f t="array" aca="1" ref="E7" ca="1">_xludf.XLOOKUP($A7,도서_정보[ID],도서_정보[추출 방식],"")</f>
        <v>#NAME?</v>
      </c>
      <c r="F7" s="69"/>
      <c r="G7" s="69"/>
      <c r="H7" s="1"/>
      <c r="I7" s="1"/>
      <c r="J7" s="1"/>
      <c r="K7" s="69"/>
      <c r="L7" s="69"/>
      <c r="M7" s="1"/>
      <c r="N7" s="1"/>
      <c r="O7" s="1"/>
      <c r="P7" s="1"/>
      <c r="Q7" s="69"/>
      <c r="R7" s="1"/>
      <c r="S7" s="1" t="s">
        <v>290</v>
      </c>
      <c r="T7" s="70" t="b">
        <v>0</v>
      </c>
      <c r="U7" s="1"/>
      <c r="V7" s="1"/>
      <c r="W7" s="1"/>
      <c r="X7" s="71" t="e">
        <f t="array" aca="1" ref="X7" ca="1">_xludf.XLOOKUP(A7,'WER 로그'!A:A,'WER 로그'!I:I,"")</f>
        <v>#NAME?</v>
      </c>
      <c r="Y7" s="70" t="e">
        <f t="array" aca="1" ref="Y7" ca="1">IF(AND(_xludf.XLOOKUP(A7,'5. 납품 전 체크리스트'!A:A,'5. 납품 전 체크리스트'!D:M,"",0)),TRUE,FALSE)</f>
        <v>#NAME?</v>
      </c>
      <c r="Z7" s="1"/>
    </row>
    <row r="8" spans="1:27" ht="22.5" customHeight="1">
      <c r="A8" s="1" t="str">
        <f>'2. 도서 정보'!A9</f>
        <v>SS0007</v>
      </c>
      <c r="B8" s="1" t="e">
        <f t="array" aca="1" ref="B8" ca="1">_xludf.XLOOKUP($A8,도서_정보[ID],도서_정보[도서명],"")</f>
        <v>#NAME?</v>
      </c>
      <c r="C8" s="1" t="e">
        <f t="array" aca="1" ref="C8" ca="1">_xludf.XLOOKUP($A8,도서_정보[ID],도서_정보[작업 페이지],"")</f>
        <v>#NAME?</v>
      </c>
      <c r="D8" s="1" t="e">
        <f t="array" aca="1" ref="D8" ca="1">_xludf.XLOOKUP($A8,도서_정보[ID],도서_정보[난이도],"")</f>
        <v>#NAME?</v>
      </c>
      <c r="E8" s="1" t="e">
        <f t="array" aca="1" ref="E8" ca="1">_xludf.XLOOKUP($A8,도서_정보[ID],도서_정보[추출 방식],"")</f>
        <v>#NAME?</v>
      </c>
      <c r="F8" s="69"/>
      <c r="G8" s="69"/>
      <c r="H8" s="1"/>
      <c r="I8" s="1"/>
      <c r="J8" s="1"/>
      <c r="K8" s="69"/>
      <c r="L8" s="69"/>
      <c r="M8" s="1"/>
      <c r="N8" s="1"/>
      <c r="O8" s="1"/>
      <c r="P8" s="1"/>
      <c r="Q8" s="69"/>
      <c r="R8" s="1"/>
      <c r="S8" s="1" t="s">
        <v>290</v>
      </c>
      <c r="T8" s="70" t="b">
        <v>0</v>
      </c>
      <c r="U8" s="1"/>
      <c r="V8" s="1"/>
      <c r="W8" s="1"/>
      <c r="X8" s="71" t="e">
        <f t="array" aca="1" ref="X8" ca="1">_xludf.XLOOKUP(A8,'WER 로그'!A:A,'WER 로그'!I:I,"")</f>
        <v>#NAME?</v>
      </c>
      <c r="Y8" s="70" t="e">
        <f t="array" aca="1" ref="Y8" ca="1">IF(AND(_xludf.XLOOKUP(A8,'5. 납품 전 체크리스트'!A:A,'5. 납품 전 체크리스트'!D:M,"",0)),TRUE,FALSE)</f>
        <v>#NAME?</v>
      </c>
      <c r="Z8" s="1"/>
    </row>
    <row r="9" spans="1:27" ht="22.5" customHeight="1">
      <c r="A9" s="1" t="str">
        <f>'2. 도서 정보'!A10</f>
        <v>SS0008</v>
      </c>
      <c r="B9" s="1" t="e">
        <f t="array" aca="1" ref="B9" ca="1">_xludf.XLOOKUP($A9,도서_정보[ID],도서_정보[도서명],"")</f>
        <v>#NAME?</v>
      </c>
      <c r="C9" s="1" t="e">
        <f t="array" aca="1" ref="C9" ca="1">_xludf.XLOOKUP($A9,도서_정보[ID],도서_정보[작업 페이지],"")</f>
        <v>#NAME?</v>
      </c>
      <c r="D9" s="1" t="e">
        <f t="array" aca="1" ref="D9" ca="1">_xludf.XLOOKUP($A9,도서_정보[ID],도서_정보[난이도],"")</f>
        <v>#NAME?</v>
      </c>
      <c r="E9" s="1" t="e">
        <f t="array" aca="1" ref="E9" ca="1">_xludf.XLOOKUP($A9,도서_정보[ID],도서_정보[추출 방식],"")</f>
        <v>#NAME?</v>
      </c>
      <c r="F9" s="69"/>
      <c r="G9" s="69"/>
      <c r="H9" s="1"/>
      <c r="I9" s="1"/>
      <c r="J9" s="1"/>
      <c r="K9" s="69"/>
      <c r="L9" s="69"/>
      <c r="M9" s="1"/>
      <c r="N9" s="1"/>
      <c r="O9" s="1"/>
      <c r="P9" s="1"/>
      <c r="Q9" s="69"/>
      <c r="R9" s="1"/>
      <c r="S9" s="1" t="s">
        <v>290</v>
      </c>
      <c r="T9" s="70" t="b">
        <v>0</v>
      </c>
      <c r="U9" s="1"/>
      <c r="V9" s="1"/>
      <c r="W9" s="1"/>
      <c r="X9" s="71" t="e">
        <f t="array" aca="1" ref="X9" ca="1">_xludf.XLOOKUP(A9,'WER 로그'!A:A,'WER 로그'!I:I,"")</f>
        <v>#NAME?</v>
      </c>
      <c r="Y9" s="70" t="e">
        <f t="array" aca="1" ref="Y9" ca="1">IF(AND(_xludf.XLOOKUP(A9,'5. 납품 전 체크리스트'!A:A,'5. 납품 전 체크리스트'!D:M,"",0)),TRUE,FALSE)</f>
        <v>#NAME?</v>
      </c>
      <c r="Z9" s="1"/>
    </row>
    <row r="10" spans="1:27" ht="22.5" customHeight="1">
      <c r="A10" s="1" t="str">
        <f>'2. 도서 정보'!A11</f>
        <v>SS0009</v>
      </c>
      <c r="B10" s="1" t="e">
        <f t="array" aca="1" ref="B10" ca="1">_xludf.XLOOKUP($A10,도서_정보[ID],도서_정보[도서명],"")</f>
        <v>#NAME?</v>
      </c>
      <c r="C10" s="1" t="e">
        <f t="array" aca="1" ref="C10" ca="1">_xludf.XLOOKUP($A10,도서_정보[ID],도서_정보[작업 페이지],"")</f>
        <v>#NAME?</v>
      </c>
      <c r="D10" s="1" t="e">
        <f t="array" aca="1" ref="D10" ca="1">_xludf.XLOOKUP($A10,도서_정보[ID],도서_정보[난이도],"")</f>
        <v>#NAME?</v>
      </c>
      <c r="E10" s="1" t="e">
        <f t="array" aca="1" ref="E10" ca="1">_xludf.XLOOKUP($A10,도서_정보[ID],도서_정보[추출 방식],"")</f>
        <v>#NAME?</v>
      </c>
      <c r="F10" s="69"/>
      <c r="G10" s="69"/>
      <c r="H10" s="1"/>
      <c r="I10" s="1"/>
      <c r="J10" s="1"/>
      <c r="K10" s="69"/>
      <c r="L10" s="69"/>
      <c r="M10" s="1"/>
      <c r="N10" s="1"/>
      <c r="O10" s="1"/>
      <c r="P10" s="1"/>
      <c r="Q10" s="69"/>
      <c r="R10" s="1"/>
      <c r="S10" s="1" t="s">
        <v>290</v>
      </c>
      <c r="T10" s="70" t="b">
        <v>0</v>
      </c>
      <c r="U10" s="1"/>
      <c r="V10" s="1"/>
      <c r="W10" s="1"/>
      <c r="X10" s="71" t="e">
        <f t="array" aca="1" ref="X10" ca="1">_xludf.XLOOKUP(A10,'WER 로그'!A:A,'WER 로그'!I:I,"")</f>
        <v>#NAME?</v>
      </c>
      <c r="Y10" s="70" t="e">
        <f t="array" aca="1" ref="Y10" ca="1">IF(AND(_xludf.XLOOKUP(A10,'5. 납품 전 체크리스트'!A:A,'5. 납품 전 체크리스트'!D:M,"",0)),TRUE,FALSE)</f>
        <v>#NAME?</v>
      </c>
      <c r="Z10" s="1"/>
    </row>
    <row r="11" spans="1:27" ht="22.5" customHeight="1">
      <c r="A11" s="1" t="str">
        <f>'2. 도서 정보'!A12</f>
        <v>SS0010</v>
      </c>
      <c r="B11" s="1" t="e">
        <f t="array" aca="1" ref="B11" ca="1">_xludf.XLOOKUP($A11,도서_정보[ID],도서_정보[도서명],"")</f>
        <v>#NAME?</v>
      </c>
      <c r="C11" s="1" t="e">
        <f t="array" aca="1" ref="C11" ca="1">_xludf.XLOOKUP($A11,도서_정보[ID],도서_정보[작업 페이지],"")</f>
        <v>#NAME?</v>
      </c>
      <c r="D11" s="1" t="e">
        <f t="array" aca="1" ref="D11" ca="1">_xludf.XLOOKUP($A11,도서_정보[ID],도서_정보[난이도],"")</f>
        <v>#NAME?</v>
      </c>
      <c r="E11" s="1" t="e">
        <f t="array" aca="1" ref="E11" ca="1">_xludf.XLOOKUP($A11,도서_정보[ID],도서_정보[추출 방식],"")</f>
        <v>#NAME?</v>
      </c>
      <c r="F11" s="69"/>
      <c r="G11" s="69"/>
      <c r="H11" s="1"/>
      <c r="I11" s="1"/>
      <c r="J11" s="1"/>
      <c r="K11" s="69"/>
      <c r="L11" s="69"/>
      <c r="M11" s="1"/>
      <c r="N11" s="1"/>
      <c r="O11" s="1"/>
      <c r="P11" s="1"/>
      <c r="Q11" s="69"/>
      <c r="R11" s="1"/>
      <c r="S11" s="1" t="s">
        <v>290</v>
      </c>
      <c r="T11" s="70" t="b">
        <v>0</v>
      </c>
      <c r="U11" s="1"/>
      <c r="V11" s="1"/>
      <c r="W11" s="1"/>
      <c r="X11" s="71" t="e">
        <f t="array" aca="1" ref="X11" ca="1">_xludf.XLOOKUP(A11,'WER 로그'!A:A,'WER 로그'!I:I,"")</f>
        <v>#NAME?</v>
      </c>
      <c r="Y11" s="70" t="e">
        <f t="array" aca="1" ref="Y11" ca="1">IF(AND(_xludf.XLOOKUP(A11,'5. 납품 전 체크리스트'!A:A,'5. 납품 전 체크리스트'!D:M,"",0)),TRUE,FALSE)</f>
        <v>#NAME?</v>
      </c>
      <c r="Z11" s="1"/>
    </row>
    <row r="12" spans="1:27" ht="22.5" customHeight="1">
      <c r="A12" s="1" t="str">
        <f>'2. 도서 정보'!A13</f>
        <v>SS0011</v>
      </c>
      <c r="B12" s="1" t="e">
        <f t="array" aca="1" ref="B12" ca="1">_xludf.XLOOKUP($A12,도서_정보[ID],도서_정보[도서명],"")</f>
        <v>#NAME?</v>
      </c>
      <c r="C12" s="1" t="e">
        <f t="array" aca="1" ref="C12" ca="1">_xludf.XLOOKUP($A12,도서_정보[ID],도서_정보[작업 페이지],"")</f>
        <v>#NAME?</v>
      </c>
      <c r="D12" s="1" t="e">
        <f t="array" aca="1" ref="D12" ca="1">_xludf.XLOOKUP($A12,도서_정보[ID],도서_정보[난이도],"")</f>
        <v>#NAME?</v>
      </c>
      <c r="E12" s="1" t="e">
        <f t="array" aca="1" ref="E12" ca="1">_xludf.XLOOKUP($A12,도서_정보[ID],도서_정보[추출 방식],"")</f>
        <v>#NAME?</v>
      </c>
      <c r="F12" s="69"/>
      <c r="G12" s="69"/>
      <c r="H12" s="1"/>
      <c r="I12" s="1"/>
      <c r="J12" s="1"/>
      <c r="K12" s="69"/>
      <c r="L12" s="69"/>
      <c r="M12" s="1"/>
      <c r="N12" s="1"/>
      <c r="O12" s="1"/>
      <c r="P12" s="1"/>
      <c r="Q12" s="69"/>
      <c r="R12" s="1"/>
      <c r="S12" s="1" t="s">
        <v>290</v>
      </c>
      <c r="T12" s="70" t="b">
        <v>0</v>
      </c>
      <c r="U12" s="1"/>
      <c r="V12" s="1"/>
      <c r="W12" s="1"/>
      <c r="X12" s="71" t="e">
        <f t="array" aca="1" ref="X12" ca="1">_xludf.XLOOKUP(A12,'WER 로그'!A:A,'WER 로그'!I:I,"")</f>
        <v>#NAME?</v>
      </c>
      <c r="Y12" s="70" t="e">
        <f t="array" aca="1" ref="Y12" ca="1">IF(AND(_xludf.XLOOKUP(A12,'5. 납품 전 체크리스트'!A:A,'5. 납품 전 체크리스트'!D:M,"",0)),TRUE,FALSE)</f>
        <v>#NAME?</v>
      </c>
      <c r="Z12" s="1"/>
    </row>
    <row r="13" spans="1:27" ht="22.5" customHeight="1">
      <c r="A13" s="1" t="str">
        <f>'2. 도서 정보'!A14</f>
        <v>SS0012</v>
      </c>
      <c r="B13" s="1" t="e">
        <f t="array" aca="1" ref="B13" ca="1">_xludf.XLOOKUP($A13,도서_정보[ID],도서_정보[도서명],"")</f>
        <v>#NAME?</v>
      </c>
      <c r="C13" s="1" t="e">
        <f t="array" aca="1" ref="C13" ca="1">_xludf.XLOOKUP($A13,도서_정보[ID],도서_정보[작업 페이지],"")</f>
        <v>#NAME?</v>
      </c>
      <c r="D13" s="1" t="e">
        <f t="array" aca="1" ref="D13" ca="1">_xludf.XLOOKUP($A13,도서_정보[ID],도서_정보[난이도],"")</f>
        <v>#NAME?</v>
      </c>
      <c r="E13" s="1" t="e">
        <f t="array" aca="1" ref="E13" ca="1">_xludf.XLOOKUP($A13,도서_정보[ID],도서_정보[추출 방식],"")</f>
        <v>#NAME?</v>
      </c>
      <c r="F13" s="69"/>
      <c r="G13" s="69"/>
      <c r="H13" s="1"/>
      <c r="I13" s="1"/>
      <c r="J13" s="1"/>
      <c r="K13" s="69"/>
      <c r="L13" s="69"/>
      <c r="M13" s="1"/>
      <c r="N13" s="1"/>
      <c r="O13" s="1"/>
      <c r="P13" s="1"/>
      <c r="Q13" s="69"/>
      <c r="R13" s="1"/>
      <c r="S13" s="1" t="s">
        <v>290</v>
      </c>
      <c r="T13" s="70" t="b">
        <v>0</v>
      </c>
      <c r="U13" s="1"/>
      <c r="V13" s="1"/>
      <c r="W13" s="1"/>
      <c r="X13" s="71" t="e">
        <f t="array" aca="1" ref="X13" ca="1">_xludf.XLOOKUP(A13,'WER 로그'!A:A,'WER 로그'!I:I,"")</f>
        <v>#NAME?</v>
      </c>
      <c r="Y13" s="70" t="e">
        <f t="array" aca="1" ref="Y13" ca="1">IF(AND(_xludf.XLOOKUP(A13,'5. 납품 전 체크리스트'!A:A,'5. 납품 전 체크리스트'!D:M,"",0)),TRUE,FALSE)</f>
        <v>#NAME?</v>
      </c>
      <c r="Z13" s="1"/>
    </row>
    <row r="14" spans="1:27" ht="22.5" customHeight="1">
      <c r="A14" s="1" t="str">
        <f>'2. 도서 정보'!A15</f>
        <v>SS0013</v>
      </c>
      <c r="B14" s="1" t="e">
        <f t="array" aca="1" ref="B14" ca="1">_xludf.XLOOKUP($A14,도서_정보[ID],도서_정보[도서명],"")</f>
        <v>#NAME?</v>
      </c>
      <c r="C14" s="1" t="e">
        <f t="array" aca="1" ref="C14" ca="1">_xludf.XLOOKUP($A14,도서_정보[ID],도서_정보[작업 페이지],"")</f>
        <v>#NAME?</v>
      </c>
      <c r="D14" s="1" t="e">
        <f t="array" aca="1" ref="D14" ca="1">_xludf.XLOOKUP($A14,도서_정보[ID],도서_정보[난이도],"")</f>
        <v>#NAME?</v>
      </c>
      <c r="E14" s="1" t="e">
        <f t="array" aca="1" ref="E14" ca="1">_xludf.XLOOKUP($A14,도서_정보[ID],도서_정보[추출 방식],"")</f>
        <v>#NAME?</v>
      </c>
      <c r="F14" s="69"/>
      <c r="G14" s="69"/>
      <c r="H14" s="1"/>
      <c r="I14" s="1"/>
      <c r="J14" s="1"/>
      <c r="K14" s="69"/>
      <c r="L14" s="69"/>
      <c r="M14" s="1"/>
      <c r="N14" s="1"/>
      <c r="O14" s="1"/>
      <c r="P14" s="1"/>
      <c r="Q14" s="69"/>
      <c r="R14" s="1"/>
      <c r="S14" s="1" t="s">
        <v>290</v>
      </c>
      <c r="T14" s="70" t="b">
        <v>0</v>
      </c>
      <c r="U14" s="1"/>
      <c r="V14" s="1"/>
      <c r="W14" s="1"/>
      <c r="X14" s="71" t="e">
        <f t="array" aca="1" ref="X14" ca="1">_xludf.XLOOKUP(A14,'WER 로그'!A:A,'WER 로그'!I:I,"")</f>
        <v>#NAME?</v>
      </c>
      <c r="Y14" s="70" t="e">
        <f t="array" aca="1" ref="Y14" ca="1">IF(AND(_xludf.XLOOKUP(A14,'5. 납품 전 체크리스트'!A:A,'5. 납품 전 체크리스트'!D:M,"",0)),TRUE,FALSE)</f>
        <v>#NAME?</v>
      </c>
      <c r="Z14" s="1"/>
    </row>
    <row r="15" spans="1:27" ht="22.5" customHeight="1">
      <c r="A15" s="1" t="str">
        <f>'2. 도서 정보'!A16</f>
        <v>SS0014</v>
      </c>
      <c r="B15" s="1" t="e">
        <f t="array" aca="1" ref="B15" ca="1">_xludf.XLOOKUP($A15,도서_정보[ID],도서_정보[도서명],"")</f>
        <v>#NAME?</v>
      </c>
      <c r="C15" s="1" t="e">
        <f t="array" aca="1" ref="C15" ca="1">_xludf.XLOOKUP($A15,도서_정보[ID],도서_정보[작업 페이지],"")</f>
        <v>#NAME?</v>
      </c>
      <c r="D15" s="1" t="e">
        <f t="array" aca="1" ref="D15" ca="1">_xludf.XLOOKUP($A15,도서_정보[ID],도서_정보[난이도],"")</f>
        <v>#NAME?</v>
      </c>
      <c r="E15" s="1" t="e">
        <f t="array" aca="1" ref="E15" ca="1">_xludf.XLOOKUP($A15,도서_정보[ID],도서_정보[추출 방식],"")</f>
        <v>#NAME?</v>
      </c>
      <c r="F15" s="69"/>
      <c r="G15" s="69"/>
      <c r="H15" s="1"/>
      <c r="I15" s="1"/>
      <c r="J15" s="1"/>
      <c r="K15" s="69"/>
      <c r="L15" s="69"/>
      <c r="M15" s="1"/>
      <c r="N15" s="1"/>
      <c r="O15" s="1"/>
      <c r="P15" s="1"/>
      <c r="Q15" s="69"/>
      <c r="R15" s="1"/>
      <c r="S15" s="1" t="s">
        <v>290</v>
      </c>
      <c r="T15" s="70" t="b">
        <v>0</v>
      </c>
      <c r="U15" s="1"/>
      <c r="V15" s="1"/>
      <c r="W15" s="1"/>
      <c r="X15" s="71" t="e">
        <f t="array" aca="1" ref="X15" ca="1">_xludf.XLOOKUP(A15,'WER 로그'!A:A,'WER 로그'!I:I,"")</f>
        <v>#NAME?</v>
      </c>
      <c r="Y15" s="70" t="e">
        <f t="array" aca="1" ref="Y15" ca="1">IF(AND(_xludf.XLOOKUP(A15,'5. 납품 전 체크리스트'!A:A,'5. 납품 전 체크리스트'!D:M,"",0)),TRUE,FALSE)</f>
        <v>#NAME?</v>
      </c>
      <c r="Z15" s="1"/>
    </row>
    <row r="16" spans="1:27" ht="22.5" customHeight="1">
      <c r="A16" s="1" t="str">
        <f>'2. 도서 정보'!A17</f>
        <v>SS0015</v>
      </c>
      <c r="B16" s="1" t="e">
        <f t="array" aca="1" ref="B16" ca="1">_xludf.XLOOKUP($A16,도서_정보[ID],도서_정보[도서명],"")</f>
        <v>#NAME?</v>
      </c>
      <c r="C16" s="1" t="e">
        <f t="array" aca="1" ref="C16" ca="1">_xludf.XLOOKUP($A16,도서_정보[ID],도서_정보[작업 페이지],"")</f>
        <v>#NAME?</v>
      </c>
      <c r="D16" s="1" t="e">
        <f t="array" aca="1" ref="D16" ca="1">_xludf.XLOOKUP($A16,도서_정보[ID],도서_정보[난이도],"")</f>
        <v>#NAME?</v>
      </c>
      <c r="E16" s="1" t="e">
        <f t="array" aca="1" ref="E16" ca="1">_xludf.XLOOKUP($A16,도서_정보[ID],도서_정보[추출 방식],"")</f>
        <v>#NAME?</v>
      </c>
      <c r="F16" s="69"/>
      <c r="G16" s="69"/>
      <c r="H16" s="1"/>
      <c r="I16" s="1"/>
      <c r="J16" s="1"/>
      <c r="K16" s="69"/>
      <c r="L16" s="69"/>
      <c r="M16" s="1"/>
      <c r="N16" s="1"/>
      <c r="O16" s="1"/>
      <c r="P16" s="1"/>
      <c r="Q16" s="69"/>
      <c r="R16" s="1"/>
      <c r="S16" s="1" t="s">
        <v>290</v>
      </c>
      <c r="T16" s="70" t="b">
        <v>0</v>
      </c>
      <c r="U16" s="1"/>
      <c r="V16" s="1"/>
      <c r="W16" s="1"/>
      <c r="X16" s="71" t="e">
        <f t="array" aca="1" ref="X16" ca="1">_xludf.XLOOKUP(A16,'WER 로그'!A:A,'WER 로그'!I:I,"")</f>
        <v>#NAME?</v>
      </c>
      <c r="Y16" s="70" t="e">
        <f t="array" aca="1" ref="Y16" ca="1">IF(AND(_xludf.XLOOKUP(A16,'5. 납품 전 체크리스트'!A:A,'5. 납품 전 체크리스트'!D:M,"",0)),TRUE,FALSE)</f>
        <v>#NAME?</v>
      </c>
      <c r="Z16" s="1"/>
    </row>
    <row r="17" spans="1:26" ht="22.5" customHeight="1">
      <c r="A17" s="1" t="str">
        <f>'2. 도서 정보'!A18</f>
        <v>SS0016</v>
      </c>
      <c r="B17" s="1" t="e">
        <f t="array" aca="1" ref="B17" ca="1">_xludf.XLOOKUP($A17,도서_정보[ID],도서_정보[도서명],"")</f>
        <v>#NAME?</v>
      </c>
      <c r="C17" s="1" t="e">
        <f t="array" aca="1" ref="C17" ca="1">_xludf.XLOOKUP($A17,도서_정보[ID],도서_정보[작업 페이지],"")</f>
        <v>#NAME?</v>
      </c>
      <c r="D17" s="1" t="e">
        <f t="array" aca="1" ref="D17" ca="1">_xludf.XLOOKUP($A17,도서_정보[ID],도서_정보[난이도],"")</f>
        <v>#NAME?</v>
      </c>
      <c r="E17" s="1" t="e">
        <f t="array" aca="1" ref="E17" ca="1">_xludf.XLOOKUP($A17,도서_정보[ID],도서_정보[추출 방식],"")</f>
        <v>#NAME?</v>
      </c>
      <c r="F17" s="69"/>
      <c r="G17" s="69"/>
      <c r="H17" s="1"/>
      <c r="I17" s="1"/>
      <c r="J17" s="1"/>
      <c r="K17" s="69"/>
      <c r="L17" s="69"/>
      <c r="M17" s="1"/>
      <c r="N17" s="1"/>
      <c r="O17" s="1"/>
      <c r="P17" s="1"/>
      <c r="Q17" s="69"/>
      <c r="R17" s="1"/>
      <c r="S17" s="1"/>
      <c r="T17" s="70" t="b">
        <v>0</v>
      </c>
      <c r="U17" s="1"/>
      <c r="V17" s="1"/>
      <c r="W17" s="1"/>
      <c r="X17" s="71" t="e">
        <f t="array" aca="1" ref="X17" ca="1">_xludf.XLOOKUP(A17,'WER 로그'!A:A,'WER 로그'!I:I,"")</f>
        <v>#NAME?</v>
      </c>
      <c r="Y17" s="70" t="e">
        <f t="array" aca="1" ref="Y17" ca="1">IF(AND(_xludf.XLOOKUP(A17,'5. 납품 전 체크리스트'!A:A,'5. 납품 전 체크리스트'!D:M,"",0)),TRUE,FALSE)</f>
        <v>#NAME?</v>
      </c>
      <c r="Z17" s="1"/>
    </row>
    <row r="18" spans="1:26" ht="22.5" customHeight="1">
      <c r="A18" s="1" t="str">
        <f>'2. 도서 정보'!A19</f>
        <v>SS0017</v>
      </c>
      <c r="B18" s="1" t="e">
        <f t="array" aca="1" ref="B18" ca="1">_xludf.XLOOKUP($A18,도서_정보[ID],도서_정보[도서명],"")</f>
        <v>#NAME?</v>
      </c>
      <c r="C18" s="1" t="e">
        <f t="array" aca="1" ref="C18" ca="1">_xludf.XLOOKUP($A18,도서_정보[ID],도서_정보[작업 페이지],"")</f>
        <v>#NAME?</v>
      </c>
      <c r="D18" s="1" t="e">
        <f t="array" aca="1" ref="D18" ca="1">_xludf.XLOOKUP($A18,도서_정보[ID],도서_정보[난이도],"")</f>
        <v>#NAME?</v>
      </c>
      <c r="E18" s="1" t="e">
        <f t="array" aca="1" ref="E18" ca="1">_xludf.XLOOKUP($A18,도서_정보[ID],도서_정보[추출 방식],"")</f>
        <v>#NAME?</v>
      </c>
      <c r="F18" s="69"/>
      <c r="G18" s="69"/>
      <c r="H18" s="1"/>
      <c r="I18" s="1"/>
      <c r="J18" s="1"/>
      <c r="K18" s="69"/>
      <c r="L18" s="69"/>
      <c r="M18" s="1"/>
      <c r="N18" s="1"/>
      <c r="O18" s="1"/>
      <c r="P18" s="1"/>
      <c r="Q18" s="69"/>
      <c r="R18" s="1"/>
      <c r="S18" s="1"/>
      <c r="T18" s="70" t="b">
        <v>0</v>
      </c>
      <c r="U18" s="1"/>
      <c r="V18" s="1"/>
      <c r="W18" s="1"/>
      <c r="X18" s="71" t="e">
        <f t="array" aca="1" ref="X18" ca="1">_xludf.XLOOKUP(A18,'WER 로그'!A:A,'WER 로그'!I:I,"")</f>
        <v>#NAME?</v>
      </c>
      <c r="Y18" s="70" t="e">
        <f t="array" aca="1" ref="Y18" ca="1">IF(AND(_xludf.XLOOKUP(A18,'5. 납품 전 체크리스트'!A:A,'5. 납품 전 체크리스트'!D:M,"",0)),TRUE,FALSE)</f>
        <v>#NAME?</v>
      </c>
      <c r="Z18" s="1"/>
    </row>
    <row r="19" spans="1:26" ht="22.5" customHeight="1">
      <c r="A19" s="1" t="str">
        <f>'2. 도서 정보'!A20</f>
        <v>SS0018</v>
      </c>
      <c r="B19" s="1" t="e">
        <f t="array" aca="1" ref="B19" ca="1">_xludf.XLOOKUP($A19,도서_정보[ID],도서_정보[도서명],"")</f>
        <v>#NAME?</v>
      </c>
      <c r="C19" s="1" t="e">
        <f t="array" aca="1" ref="C19" ca="1">_xludf.XLOOKUP($A19,도서_정보[ID],도서_정보[작업 페이지],"")</f>
        <v>#NAME?</v>
      </c>
      <c r="D19" s="1" t="e">
        <f t="array" aca="1" ref="D19" ca="1">_xludf.XLOOKUP($A19,도서_정보[ID],도서_정보[난이도],"")</f>
        <v>#NAME?</v>
      </c>
      <c r="E19" s="1" t="e">
        <f t="array" aca="1" ref="E19" ca="1">_xludf.XLOOKUP($A19,도서_정보[ID],도서_정보[추출 방식],"")</f>
        <v>#NAME?</v>
      </c>
      <c r="F19" s="69"/>
      <c r="G19" s="69"/>
      <c r="H19" s="1"/>
      <c r="I19" s="1"/>
      <c r="J19" s="1"/>
      <c r="K19" s="69"/>
      <c r="L19" s="69"/>
      <c r="M19" s="1"/>
      <c r="N19" s="1"/>
      <c r="O19" s="1"/>
      <c r="P19" s="1"/>
      <c r="Q19" s="69"/>
      <c r="R19" s="1"/>
      <c r="S19" s="1"/>
      <c r="T19" s="70" t="b">
        <v>0</v>
      </c>
      <c r="U19" s="1"/>
      <c r="V19" s="1"/>
      <c r="W19" s="1"/>
      <c r="X19" s="71" t="e">
        <f t="array" aca="1" ref="X19" ca="1">_xludf.XLOOKUP(A19,'WER 로그'!A:A,'WER 로그'!I:I,"")</f>
        <v>#NAME?</v>
      </c>
      <c r="Y19" s="70" t="e">
        <f t="array" aca="1" ref="Y19" ca="1">IF(AND(_xludf.XLOOKUP(A19,'5. 납품 전 체크리스트'!A:A,'5. 납품 전 체크리스트'!D:M,"",0)),TRUE,FALSE)</f>
        <v>#NAME?</v>
      </c>
      <c r="Z19" s="1"/>
    </row>
    <row r="20" spans="1:26" ht="22.5" customHeight="1">
      <c r="A20" s="1" t="str">
        <f>'2. 도서 정보'!A21</f>
        <v>SS0019</v>
      </c>
      <c r="B20" s="1" t="e">
        <f t="array" aca="1" ref="B20" ca="1">_xludf.XLOOKUP($A20,도서_정보[ID],도서_정보[도서명],"")</f>
        <v>#NAME?</v>
      </c>
      <c r="C20" s="1" t="e">
        <f t="array" aca="1" ref="C20" ca="1">_xludf.XLOOKUP($A20,도서_정보[ID],도서_정보[작업 페이지],"")</f>
        <v>#NAME?</v>
      </c>
      <c r="D20" s="1" t="e">
        <f t="array" aca="1" ref="D20" ca="1">_xludf.XLOOKUP($A20,도서_정보[ID],도서_정보[난이도],"")</f>
        <v>#NAME?</v>
      </c>
      <c r="E20" s="1" t="e">
        <f t="array" aca="1" ref="E20" ca="1">_xludf.XLOOKUP($A20,도서_정보[ID],도서_정보[추출 방식],"")</f>
        <v>#NAME?</v>
      </c>
      <c r="F20" s="69"/>
      <c r="G20" s="69"/>
      <c r="H20" s="1"/>
      <c r="I20" s="1"/>
      <c r="J20" s="1"/>
      <c r="K20" s="69"/>
      <c r="L20" s="69"/>
      <c r="M20" s="1"/>
      <c r="N20" s="1"/>
      <c r="O20" s="1"/>
      <c r="P20" s="1"/>
      <c r="Q20" s="69"/>
      <c r="R20" s="1"/>
      <c r="S20" s="1"/>
      <c r="T20" s="70" t="b">
        <v>0</v>
      </c>
      <c r="U20" s="1"/>
      <c r="V20" s="1"/>
      <c r="W20" s="1"/>
      <c r="X20" s="71" t="e">
        <f t="array" aca="1" ref="X20" ca="1">_xludf.XLOOKUP(A20,'WER 로그'!A:A,'WER 로그'!I:I,"")</f>
        <v>#NAME?</v>
      </c>
      <c r="Y20" s="70" t="e">
        <f t="array" aca="1" ref="Y20" ca="1">IF(AND(_xludf.XLOOKUP(A20,'5. 납품 전 체크리스트'!A:A,'5. 납품 전 체크리스트'!D:M,"",0)),TRUE,FALSE)</f>
        <v>#NAME?</v>
      </c>
      <c r="Z20" s="1"/>
    </row>
    <row r="21" spans="1:26" ht="22.5" customHeight="1">
      <c r="A21" s="1" t="str">
        <f>'2. 도서 정보'!A22</f>
        <v>SS0020</v>
      </c>
      <c r="B21" s="1" t="e">
        <f t="array" aca="1" ref="B21" ca="1">_xludf.XLOOKUP($A21,도서_정보[ID],도서_정보[도서명],"")</f>
        <v>#NAME?</v>
      </c>
      <c r="C21" s="1" t="e">
        <f t="array" aca="1" ref="C21" ca="1">_xludf.XLOOKUP($A21,도서_정보[ID],도서_정보[작업 페이지],"")</f>
        <v>#NAME?</v>
      </c>
      <c r="D21" s="1" t="e">
        <f t="array" aca="1" ref="D21" ca="1">_xludf.XLOOKUP($A21,도서_정보[ID],도서_정보[난이도],"")</f>
        <v>#NAME?</v>
      </c>
      <c r="E21" s="1" t="e">
        <f t="array" aca="1" ref="E21" ca="1">_xludf.XLOOKUP($A21,도서_정보[ID],도서_정보[추출 방식],"")</f>
        <v>#NAME?</v>
      </c>
      <c r="F21" s="69"/>
      <c r="G21" s="69"/>
      <c r="H21" s="1"/>
      <c r="I21" s="1"/>
      <c r="J21" s="1"/>
      <c r="K21" s="69"/>
      <c r="L21" s="69"/>
      <c r="M21" s="1"/>
      <c r="N21" s="1"/>
      <c r="O21" s="1"/>
      <c r="P21" s="1"/>
      <c r="Q21" s="69"/>
      <c r="R21" s="1"/>
      <c r="S21" s="1"/>
      <c r="T21" s="70" t="b">
        <v>0</v>
      </c>
      <c r="U21" s="1"/>
      <c r="V21" s="1"/>
      <c r="W21" s="1"/>
      <c r="X21" s="71" t="e">
        <f t="array" aca="1" ref="X21" ca="1">_xludf.XLOOKUP(A21,'WER 로그'!A:A,'WER 로그'!I:I,"")</f>
        <v>#NAME?</v>
      </c>
      <c r="Y21" s="70" t="e">
        <f t="array" aca="1" ref="Y21" ca="1">IF(AND(_xludf.XLOOKUP(A21,'5. 납품 전 체크리스트'!A:A,'5. 납품 전 체크리스트'!D:M,"",0)),TRUE,FALSE)</f>
        <v>#NAME?</v>
      </c>
      <c r="Z21" s="1"/>
    </row>
    <row r="22" spans="1:26" ht="22.5" customHeight="1">
      <c r="A22" s="1" t="str">
        <f>'2. 도서 정보'!A23</f>
        <v>SS0021</v>
      </c>
      <c r="B22" s="1" t="e">
        <f t="array" aca="1" ref="B22" ca="1">_xludf.XLOOKUP($A22,도서_정보[ID],도서_정보[도서명],"")</f>
        <v>#NAME?</v>
      </c>
      <c r="C22" s="1" t="e">
        <f t="array" aca="1" ref="C22" ca="1">_xludf.XLOOKUP($A22,도서_정보[ID],도서_정보[작업 페이지],"")</f>
        <v>#NAME?</v>
      </c>
      <c r="D22" s="1" t="e">
        <f t="array" aca="1" ref="D22" ca="1">_xludf.XLOOKUP($A22,도서_정보[ID],도서_정보[난이도],"")</f>
        <v>#NAME?</v>
      </c>
      <c r="E22" s="1" t="e">
        <f t="array" aca="1" ref="E22" ca="1">_xludf.XLOOKUP($A22,도서_정보[ID],도서_정보[추출 방식],"")</f>
        <v>#NAME?</v>
      </c>
      <c r="F22" s="69"/>
      <c r="G22" s="69"/>
      <c r="H22" s="1"/>
      <c r="I22" s="1"/>
      <c r="J22" s="1"/>
      <c r="K22" s="69"/>
      <c r="L22" s="69"/>
      <c r="M22" s="1"/>
      <c r="N22" s="1"/>
      <c r="O22" s="1"/>
      <c r="P22" s="1"/>
      <c r="Q22" s="69"/>
      <c r="R22" s="1"/>
      <c r="S22" s="1"/>
      <c r="T22" s="70" t="b">
        <v>0</v>
      </c>
      <c r="U22" s="1"/>
      <c r="V22" s="1"/>
      <c r="W22" s="1"/>
      <c r="X22" s="71" t="e">
        <f t="array" aca="1" ref="X22" ca="1">_xludf.XLOOKUP(A22,'WER 로그'!A:A,'WER 로그'!I:I,"")</f>
        <v>#NAME?</v>
      </c>
      <c r="Y22" s="70" t="e">
        <f t="array" aca="1" ref="Y22" ca="1">IF(AND(_xludf.XLOOKUP(A22,'5. 납품 전 체크리스트'!A:A,'5. 납품 전 체크리스트'!D:M,"",0)),TRUE,FALSE)</f>
        <v>#NAME?</v>
      </c>
      <c r="Z22" s="1"/>
    </row>
    <row r="23" spans="1:26" ht="22.5" customHeight="1">
      <c r="A23" s="1" t="str">
        <f>'2. 도서 정보'!A24</f>
        <v>SS0022</v>
      </c>
      <c r="B23" s="1" t="e">
        <f t="array" aca="1" ref="B23" ca="1">_xludf.XLOOKUP($A23,도서_정보[ID],도서_정보[도서명],"")</f>
        <v>#NAME?</v>
      </c>
      <c r="C23" s="1" t="e">
        <f t="array" aca="1" ref="C23" ca="1">_xludf.XLOOKUP($A23,도서_정보[ID],도서_정보[작업 페이지],"")</f>
        <v>#NAME?</v>
      </c>
      <c r="D23" s="1" t="e">
        <f t="array" aca="1" ref="D23" ca="1">_xludf.XLOOKUP($A23,도서_정보[ID],도서_정보[난이도],"")</f>
        <v>#NAME?</v>
      </c>
      <c r="E23" s="1" t="e">
        <f t="array" aca="1" ref="E23" ca="1">_xludf.XLOOKUP($A23,도서_정보[ID],도서_정보[추출 방식],"")</f>
        <v>#NAME?</v>
      </c>
      <c r="F23" s="69"/>
      <c r="G23" s="69"/>
      <c r="H23" s="1"/>
      <c r="I23" s="1"/>
      <c r="J23" s="1"/>
      <c r="K23" s="69"/>
      <c r="L23" s="69"/>
      <c r="M23" s="1"/>
      <c r="N23" s="1"/>
      <c r="O23" s="1"/>
      <c r="P23" s="1"/>
      <c r="Q23" s="69"/>
      <c r="R23" s="1"/>
      <c r="S23" s="1"/>
      <c r="T23" s="70" t="b">
        <v>0</v>
      </c>
      <c r="U23" s="1"/>
      <c r="V23" s="1"/>
      <c r="W23" s="1"/>
      <c r="X23" s="71" t="e">
        <f t="array" aca="1" ref="X23" ca="1">_xludf.XLOOKUP(A23,'WER 로그'!A:A,'WER 로그'!I:I,"")</f>
        <v>#NAME?</v>
      </c>
      <c r="Y23" s="70" t="e">
        <f t="array" aca="1" ref="Y23" ca="1">IF(AND(_xludf.XLOOKUP(A23,'5. 납품 전 체크리스트'!A:A,'5. 납품 전 체크리스트'!D:M,"",0)),TRUE,FALSE)</f>
        <v>#NAME?</v>
      </c>
      <c r="Z23" s="1"/>
    </row>
    <row r="24" spans="1:26" ht="22.5" customHeight="1">
      <c r="A24" s="1" t="str">
        <f>'2. 도서 정보'!A25</f>
        <v>SS0023</v>
      </c>
      <c r="B24" s="1" t="e">
        <f t="array" aca="1" ref="B24" ca="1">_xludf.XLOOKUP($A24,도서_정보[ID],도서_정보[도서명],"")</f>
        <v>#NAME?</v>
      </c>
      <c r="C24" s="1" t="e">
        <f t="array" aca="1" ref="C24" ca="1">_xludf.XLOOKUP($A24,도서_정보[ID],도서_정보[작업 페이지],"")</f>
        <v>#NAME?</v>
      </c>
      <c r="D24" s="1" t="e">
        <f t="array" aca="1" ref="D24" ca="1">_xludf.XLOOKUP($A24,도서_정보[ID],도서_정보[난이도],"")</f>
        <v>#NAME?</v>
      </c>
      <c r="E24" s="1" t="e">
        <f t="array" aca="1" ref="E24" ca="1">_xludf.XLOOKUP($A24,도서_정보[ID],도서_정보[추출 방식],"")</f>
        <v>#NAME?</v>
      </c>
      <c r="F24" s="69"/>
      <c r="G24" s="69"/>
      <c r="H24" s="1"/>
      <c r="I24" s="1"/>
      <c r="J24" s="1"/>
      <c r="K24" s="69"/>
      <c r="L24" s="69"/>
      <c r="M24" s="1"/>
      <c r="N24" s="1"/>
      <c r="O24" s="1"/>
      <c r="P24" s="1"/>
      <c r="Q24" s="69"/>
      <c r="R24" s="1"/>
      <c r="S24" s="1"/>
      <c r="T24" s="70" t="b">
        <v>0</v>
      </c>
      <c r="U24" s="1"/>
      <c r="V24" s="1"/>
      <c r="W24" s="1"/>
      <c r="X24" s="71" t="e">
        <f t="array" aca="1" ref="X24" ca="1">_xludf.XLOOKUP(A24,'WER 로그'!A:A,'WER 로그'!I:I,"")</f>
        <v>#NAME?</v>
      </c>
      <c r="Y24" s="70" t="e">
        <f t="array" aca="1" ref="Y24" ca="1">IF(AND(_xludf.XLOOKUP(A24,'5. 납품 전 체크리스트'!A:A,'5. 납품 전 체크리스트'!D:M,"",0)),TRUE,FALSE)</f>
        <v>#NAME?</v>
      </c>
      <c r="Z24" s="1"/>
    </row>
    <row r="25" spans="1:26" ht="22.5" customHeight="1">
      <c r="A25" s="1" t="str">
        <f>'2. 도서 정보'!A26</f>
        <v>SS0024</v>
      </c>
      <c r="B25" s="1" t="e">
        <f t="array" aca="1" ref="B25" ca="1">_xludf.XLOOKUP($A25,도서_정보[ID],도서_정보[도서명],"")</f>
        <v>#NAME?</v>
      </c>
      <c r="C25" s="1" t="e">
        <f t="array" aca="1" ref="C25" ca="1">_xludf.XLOOKUP($A25,도서_정보[ID],도서_정보[작업 페이지],"")</f>
        <v>#NAME?</v>
      </c>
      <c r="D25" s="1" t="e">
        <f t="array" aca="1" ref="D25" ca="1">_xludf.XLOOKUP($A25,도서_정보[ID],도서_정보[난이도],"")</f>
        <v>#NAME?</v>
      </c>
      <c r="E25" s="1" t="e">
        <f t="array" aca="1" ref="E25" ca="1">_xludf.XLOOKUP($A25,도서_정보[ID],도서_정보[추출 방식],"")</f>
        <v>#NAME?</v>
      </c>
      <c r="F25" s="69"/>
      <c r="G25" s="69"/>
      <c r="H25" s="1"/>
      <c r="I25" s="1"/>
      <c r="J25" s="1"/>
      <c r="K25" s="69"/>
      <c r="L25" s="69"/>
      <c r="M25" s="1"/>
      <c r="N25" s="1"/>
      <c r="O25" s="1"/>
      <c r="P25" s="1"/>
      <c r="Q25" s="69"/>
      <c r="R25" s="1"/>
      <c r="S25" s="1"/>
      <c r="T25" s="70" t="b">
        <v>0</v>
      </c>
      <c r="U25" s="1"/>
      <c r="V25" s="1"/>
      <c r="W25" s="1"/>
      <c r="X25" s="71" t="e">
        <f t="array" aca="1" ref="X25" ca="1">_xludf.XLOOKUP(A25,'WER 로그'!A:A,'WER 로그'!I:I,"")</f>
        <v>#NAME?</v>
      </c>
      <c r="Y25" s="70" t="e">
        <f t="array" aca="1" ref="Y25" ca="1">IF(AND(_xludf.XLOOKUP(A25,'5. 납품 전 체크리스트'!A:A,'5. 납품 전 체크리스트'!D:M,"",0)),TRUE,FALSE)</f>
        <v>#NAME?</v>
      </c>
      <c r="Z25" s="1"/>
    </row>
    <row r="26" spans="1:26" ht="22.5" customHeight="1">
      <c r="A26" s="1" t="str">
        <f>'2. 도서 정보'!A27</f>
        <v>SS0025</v>
      </c>
      <c r="B26" s="1" t="e">
        <f t="array" aca="1" ref="B26" ca="1">_xludf.XLOOKUP($A26,도서_정보[ID],도서_정보[도서명],"")</f>
        <v>#NAME?</v>
      </c>
      <c r="C26" s="1" t="e">
        <f t="array" aca="1" ref="C26" ca="1">_xludf.XLOOKUP($A26,도서_정보[ID],도서_정보[작업 페이지],"")</f>
        <v>#NAME?</v>
      </c>
      <c r="D26" s="1" t="e">
        <f t="array" aca="1" ref="D26" ca="1">_xludf.XLOOKUP($A26,도서_정보[ID],도서_정보[난이도],"")</f>
        <v>#NAME?</v>
      </c>
      <c r="E26" s="1" t="e">
        <f t="array" aca="1" ref="E26" ca="1">_xludf.XLOOKUP($A26,도서_정보[ID],도서_정보[추출 방식],"")</f>
        <v>#NAME?</v>
      </c>
      <c r="F26" s="69"/>
      <c r="G26" s="69"/>
      <c r="H26" s="1"/>
      <c r="I26" s="1"/>
      <c r="J26" s="1"/>
      <c r="K26" s="69"/>
      <c r="L26" s="69"/>
      <c r="M26" s="1"/>
      <c r="N26" s="1"/>
      <c r="O26" s="1"/>
      <c r="P26" s="1"/>
      <c r="Q26" s="69"/>
      <c r="R26" s="1"/>
      <c r="S26" s="1"/>
      <c r="T26" s="70" t="b">
        <v>0</v>
      </c>
      <c r="U26" s="1"/>
      <c r="V26" s="1"/>
      <c r="W26" s="1"/>
      <c r="X26" s="71" t="e">
        <f t="array" aca="1" ref="X26" ca="1">_xludf.XLOOKUP(A26,'WER 로그'!A:A,'WER 로그'!I:I,"")</f>
        <v>#NAME?</v>
      </c>
      <c r="Y26" s="70" t="e">
        <f t="array" aca="1" ref="Y26" ca="1">IF(AND(_xludf.XLOOKUP(A26,'5. 납품 전 체크리스트'!A:A,'5. 납품 전 체크리스트'!D:M,"",0)),TRUE,FALSE)</f>
        <v>#NAME?</v>
      </c>
      <c r="Z26" s="1"/>
    </row>
    <row r="27" spans="1:26" ht="22.5" customHeight="1">
      <c r="A27" s="1" t="str">
        <f>'2. 도서 정보'!A28</f>
        <v>SS0026</v>
      </c>
      <c r="B27" s="1" t="e">
        <f t="array" aca="1" ref="B27" ca="1">_xludf.XLOOKUP($A27,도서_정보[ID],도서_정보[도서명],"")</f>
        <v>#NAME?</v>
      </c>
      <c r="C27" s="1" t="e">
        <f t="array" aca="1" ref="C27" ca="1">_xludf.XLOOKUP($A27,도서_정보[ID],도서_정보[작업 페이지],"")</f>
        <v>#NAME?</v>
      </c>
      <c r="D27" s="1" t="e">
        <f t="array" aca="1" ref="D27" ca="1">_xludf.XLOOKUP($A27,도서_정보[ID],도서_정보[난이도],"")</f>
        <v>#NAME?</v>
      </c>
      <c r="E27" s="1" t="e">
        <f t="array" aca="1" ref="E27" ca="1">_xludf.XLOOKUP($A27,도서_정보[ID],도서_정보[추출 방식],"")</f>
        <v>#NAME?</v>
      </c>
      <c r="F27" s="69"/>
      <c r="G27" s="69"/>
      <c r="H27" s="1"/>
      <c r="I27" s="1"/>
      <c r="J27" s="1"/>
      <c r="K27" s="69"/>
      <c r="L27" s="69"/>
      <c r="M27" s="1"/>
      <c r="N27" s="1"/>
      <c r="O27" s="1"/>
      <c r="P27" s="1"/>
      <c r="Q27" s="69"/>
      <c r="R27" s="1"/>
      <c r="S27" s="1"/>
      <c r="T27" s="70" t="b">
        <v>0</v>
      </c>
      <c r="U27" s="1"/>
      <c r="V27" s="1"/>
      <c r="W27" s="1"/>
      <c r="X27" s="71" t="e">
        <f t="array" aca="1" ref="X27" ca="1">_xludf.XLOOKUP(A27,'WER 로그'!A:A,'WER 로그'!I:I,"")</f>
        <v>#NAME?</v>
      </c>
      <c r="Y27" s="70" t="e">
        <f t="array" aca="1" ref="Y27" ca="1">IF(AND(_xludf.XLOOKUP(A27,'5. 납품 전 체크리스트'!A:A,'5. 납품 전 체크리스트'!D:M,"",0)),TRUE,FALSE)</f>
        <v>#NAME?</v>
      </c>
      <c r="Z27" s="1"/>
    </row>
    <row r="28" spans="1:26" ht="22.5" customHeight="1">
      <c r="A28" s="1" t="str">
        <f>'2. 도서 정보'!A29</f>
        <v>SS0027</v>
      </c>
      <c r="B28" s="1" t="e">
        <f t="array" aca="1" ref="B28" ca="1">_xludf.XLOOKUP($A28,도서_정보[ID],도서_정보[도서명],"")</f>
        <v>#NAME?</v>
      </c>
      <c r="C28" s="1" t="e">
        <f t="array" aca="1" ref="C28" ca="1">_xludf.XLOOKUP($A28,도서_정보[ID],도서_정보[작업 페이지],"")</f>
        <v>#NAME?</v>
      </c>
      <c r="D28" s="1" t="e">
        <f t="array" aca="1" ref="D28" ca="1">_xludf.XLOOKUP($A28,도서_정보[ID],도서_정보[난이도],"")</f>
        <v>#NAME?</v>
      </c>
      <c r="E28" s="1" t="e">
        <f t="array" aca="1" ref="E28" ca="1">_xludf.XLOOKUP($A28,도서_정보[ID],도서_정보[추출 방식],"")</f>
        <v>#NAME?</v>
      </c>
      <c r="F28" s="69"/>
      <c r="G28" s="69"/>
      <c r="H28" s="1"/>
      <c r="I28" s="1"/>
      <c r="J28" s="1"/>
      <c r="K28" s="69"/>
      <c r="L28" s="69"/>
      <c r="M28" s="1"/>
      <c r="N28" s="1"/>
      <c r="O28" s="1"/>
      <c r="P28" s="1"/>
      <c r="Q28" s="69"/>
      <c r="R28" s="1"/>
      <c r="S28" s="1"/>
      <c r="T28" s="70" t="b">
        <v>0</v>
      </c>
      <c r="U28" s="1"/>
      <c r="V28" s="1"/>
      <c r="W28" s="1"/>
      <c r="X28" s="71" t="e">
        <f t="array" aca="1" ref="X28" ca="1">_xludf.XLOOKUP(A28,'WER 로그'!A:A,'WER 로그'!I:I,"")</f>
        <v>#NAME?</v>
      </c>
      <c r="Y28" s="70" t="e">
        <f t="array" aca="1" ref="Y28" ca="1">IF(AND(_xludf.XLOOKUP(A28,'5. 납품 전 체크리스트'!A:A,'5. 납품 전 체크리스트'!D:M,"",0)),TRUE,FALSE)</f>
        <v>#NAME?</v>
      </c>
      <c r="Z28" s="1"/>
    </row>
    <row r="29" spans="1:26" ht="22.5" customHeight="1">
      <c r="A29" s="1" t="str">
        <f>'2. 도서 정보'!A30</f>
        <v>SS0028</v>
      </c>
      <c r="B29" s="1" t="e">
        <f t="array" aca="1" ref="B29" ca="1">_xludf.XLOOKUP($A29,도서_정보[ID],도서_정보[도서명],"")</f>
        <v>#NAME?</v>
      </c>
      <c r="C29" s="1" t="e">
        <f t="array" aca="1" ref="C29" ca="1">_xludf.XLOOKUP($A29,도서_정보[ID],도서_정보[작업 페이지],"")</f>
        <v>#NAME?</v>
      </c>
      <c r="D29" s="1" t="e">
        <f t="array" aca="1" ref="D29" ca="1">_xludf.XLOOKUP($A29,도서_정보[ID],도서_정보[난이도],"")</f>
        <v>#NAME?</v>
      </c>
      <c r="E29" s="1" t="e">
        <f t="array" aca="1" ref="E29" ca="1">_xludf.XLOOKUP($A29,도서_정보[ID],도서_정보[추출 방식],"")</f>
        <v>#NAME?</v>
      </c>
      <c r="F29" s="69"/>
      <c r="G29" s="69"/>
      <c r="H29" s="1"/>
      <c r="I29" s="1"/>
      <c r="J29" s="1"/>
      <c r="K29" s="69"/>
      <c r="L29" s="69"/>
      <c r="M29" s="1"/>
      <c r="N29" s="1"/>
      <c r="O29" s="1"/>
      <c r="P29" s="1"/>
      <c r="Q29" s="69"/>
      <c r="R29" s="1"/>
      <c r="S29" s="1"/>
      <c r="T29" s="70" t="b">
        <v>0</v>
      </c>
      <c r="U29" s="1"/>
      <c r="V29" s="1"/>
      <c r="W29" s="1"/>
      <c r="X29" s="71" t="e">
        <f t="array" aca="1" ref="X29" ca="1">_xludf.XLOOKUP(A29,'WER 로그'!A:A,'WER 로그'!I:I,"")</f>
        <v>#NAME?</v>
      </c>
      <c r="Y29" s="70" t="e">
        <f t="array" aca="1" ref="Y29" ca="1">IF(AND(_xludf.XLOOKUP(A29,'5. 납품 전 체크리스트'!A:A,'5. 납품 전 체크리스트'!D:M,"",0)),TRUE,FALSE)</f>
        <v>#NAME?</v>
      </c>
      <c r="Z29" s="1"/>
    </row>
    <row r="30" spans="1:26" ht="22.5" customHeight="1">
      <c r="A30" s="1" t="str">
        <f>'2. 도서 정보'!A31</f>
        <v>SS0029</v>
      </c>
      <c r="B30" s="1" t="e">
        <f t="array" aca="1" ref="B30" ca="1">_xludf.XLOOKUP($A30,도서_정보[ID],도서_정보[도서명],"")</f>
        <v>#NAME?</v>
      </c>
      <c r="C30" s="1" t="e">
        <f t="array" aca="1" ref="C30" ca="1">_xludf.XLOOKUP($A30,도서_정보[ID],도서_정보[작업 페이지],"")</f>
        <v>#NAME?</v>
      </c>
      <c r="D30" s="1" t="e">
        <f t="array" aca="1" ref="D30" ca="1">_xludf.XLOOKUP($A30,도서_정보[ID],도서_정보[난이도],"")</f>
        <v>#NAME?</v>
      </c>
      <c r="E30" s="1" t="e">
        <f t="array" aca="1" ref="E30" ca="1">_xludf.XLOOKUP($A30,도서_정보[ID],도서_정보[추출 방식],"")</f>
        <v>#NAME?</v>
      </c>
      <c r="F30" s="69"/>
      <c r="G30" s="69"/>
      <c r="H30" s="1"/>
      <c r="I30" s="1"/>
      <c r="J30" s="1"/>
      <c r="K30" s="69"/>
      <c r="L30" s="69"/>
      <c r="M30" s="1"/>
      <c r="N30" s="1"/>
      <c r="O30" s="1"/>
      <c r="P30" s="1"/>
      <c r="Q30" s="69"/>
      <c r="R30" s="1"/>
      <c r="S30" s="1"/>
      <c r="T30" s="70" t="b">
        <v>0</v>
      </c>
      <c r="U30" s="1"/>
      <c r="V30" s="1"/>
      <c r="W30" s="1"/>
      <c r="X30" s="71" t="e">
        <f t="array" aca="1" ref="X30" ca="1">_xludf.XLOOKUP(A30,'WER 로그'!A:A,'WER 로그'!I:I,"")</f>
        <v>#NAME?</v>
      </c>
      <c r="Y30" s="70" t="e">
        <f t="array" aca="1" ref="Y30" ca="1">IF(AND(_xludf.XLOOKUP(A30,'5. 납품 전 체크리스트'!A:A,'5. 납품 전 체크리스트'!D:M,"",0)),TRUE,FALSE)</f>
        <v>#NAME?</v>
      </c>
      <c r="Z30" s="1"/>
    </row>
    <row r="31" spans="1:26" ht="22.5" customHeight="1">
      <c r="A31" s="1" t="str">
        <f>'2. 도서 정보'!A32</f>
        <v>SS0030</v>
      </c>
      <c r="B31" s="1" t="e">
        <f t="array" aca="1" ref="B31" ca="1">_xludf.XLOOKUP($A31,도서_정보[ID],도서_정보[도서명],"")</f>
        <v>#NAME?</v>
      </c>
      <c r="C31" s="1" t="e">
        <f t="array" aca="1" ref="C31" ca="1">_xludf.XLOOKUP($A31,도서_정보[ID],도서_정보[작업 페이지],"")</f>
        <v>#NAME?</v>
      </c>
      <c r="D31" s="1" t="e">
        <f t="array" aca="1" ref="D31" ca="1">_xludf.XLOOKUP($A31,도서_정보[ID],도서_정보[난이도],"")</f>
        <v>#NAME?</v>
      </c>
      <c r="E31" s="1" t="e">
        <f t="array" aca="1" ref="E31" ca="1">_xludf.XLOOKUP($A31,도서_정보[ID],도서_정보[추출 방식],"")</f>
        <v>#NAME?</v>
      </c>
      <c r="F31" s="69"/>
      <c r="G31" s="69"/>
      <c r="H31" s="1"/>
      <c r="I31" s="1"/>
      <c r="J31" s="1"/>
      <c r="K31" s="69"/>
      <c r="L31" s="69"/>
      <c r="M31" s="1"/>
      <c r="N31" s="1"/>
      <c r="O31" s="1"/>
      <c r="P31" s="1"/>
      <c r="Q31" s="69"/>
      <c r="R31" s="1"/>
      <c r="S31" s="1"/>
      <c r="T31" s="70" t="b">
        <v>0</v>
      </c>
      <c r="U31" s="1"/>
      <c r="V31" s="1"/>
      <c r="W31" s="1"/>
      <c r="X31" s="71" t="e">
        <f t="array" aca="1" ref="X31" ca="1">_xludf.XLOOKUP(A31,'WER 로그'!A:A,'WER 로그'!I:I,"")</f>
        <v>#NAME?</v>
      </c>
      <c r="Y31" s="70" t="e">
        <f t="array" aca="1" ref="Y31" ca="1">IF(AND(_xludf.XLOOKUP(A31,'5. 납품 전 체크리스트'!A:A,'5. 납품 전 체크리스트'!D:M,"",0)),TRUE,FALSE)</f>
        <v>#NAME?</v>
      </c>
      <c r="Z31" s="1"/>
    </row>
    <row r="32" spans="1:26" ht="22.5" customHeight="1">
      <c r="A32" s="1" t="str">
        <f>'2. 도서 정보'!A33</f>
        <v>SS0031</v>
      </c>
      <c r="B32" s="1" t="e">
        <f t="array" aca="1" ref="B32" ca="1">_xludf.XLOOKUP($A32,도서_정보[ID],도서_정보[도서명],"")</f>
        <v>#NAME?</v>
      </c>
      <c r="C32" s="1" t="e">
        <f t="array" aca="1" ref="C32" ca="1">_xludf.XLOOKUP($A32,도서_정보[ID],도서_정보[작업 페이지],"")</f>
        <v>#NAME?</v>
      </c>
      <c r="D32" s="1" t="e">
        <f t="array" aca="1" ref="D32" ca="1">_xludf.XLOOKUP($A32,도서_정보[ID],도서_정보[난이도],"")</f>
        <v>#NAME?</v>
      </c>
      <c r="E32" s="1" t="e">
        <f t="array" aca="1" ref="E32" ca="1">_xludf.XLOOKUP($A32,도서_정보[ID],도서_정보[추출 방식],"")</f>
        <v>#NAME?</v>
      </c>
      <c r="F32" s="69"/>
      <c r="G32" s="69"/>
      <c r="H32" s="1"/>
      <c r="I32" s="1"/>
      <c r="J32" s="1"/>
      <c r="K32" s="69"/>
      <c r="L32" s="69"/>
      <c r="M32" s="1"/>
      <c r="N32" s="1"/>
      <c r="O32" s="1"/>
      <c r="P32" s="1"/>
      <c r="Q32" s="69"/>
      <c r="R32" s="1"/>
      <c r="S32" s="1"/>
      <c r="T32" s="70" t="b">
        <v>0</v>
      </c>
      <c r="U32" s="1"/>
      <c r="V32" s="1"/>
      <c r="W32" s="1"/>
      <c r="X32" s="71" t="e">
        <f t="array" aca="1" ref="X32" ca="1">_xludf.XLOOKUP(A32,'WER 로그'!A:A,'WER 로그'!I:I,"")</f>
        <v>#NAME?</v>
      </c>
      <c r="Y32" s="70" t="e">
        <f t="array" aca="1" ref="Y32" ca="1">IF(AND(_xludf.XLOOKUP(A32,'5. 납품 전 체크리스트'!A:A,'5. 납품 전 체크리스트'!D:M,"",0)),TRUE,FALSE)</f>
        <v>#NAME?</v>
      </c>
      <c r="Z32" s="1"/>
    </row>
    <row r="33" spans="1:26" ht="22.5" customHeight="1">
      <c r="A33" s="1" t="str">
        <f>'2. 도서 정보'!A34</f>
        <v>SS0032</v>
      </c>
      <c r="B33" s="1" t="e">
        <f t="array" aca="1" ref="B33" ca="1">_xludf.XLOOKUP($A33,도서_정보[ID],도서_정보[도서명],"")</f>
        <v>#NAME?</v>
      </c>
      <c r="C33" s="1" t="e">
        <f t="array" aca="1" ref="C33" ca="1">_xludf.XLOOKUP($A33,도서_정보[ID],도서_정보[작업 페이지],"")</f>
        <v>#NAME?</v>
      </c>
      <c r="D33" s="1" t="e">
        <f t="array" aca="1" ref="D33" ca="1">_xludf.XLOOKUP($A33,도서_정보[ID],도서_정보[난이도],"")</f>
        <v>#NAME?</v>
      </c>
      <c r="E33" s="1" t="e">
        <f t="array" aca="1" ref="E33" ca="1">_xludf.XLOOKUP($A33,도서_정보[ID],도서_정보[추출 방식],"")</f>
        <v>#NAME?</v>
      </c>
      <c r="F33" s="69"/>
      <c r="G33" s="69"/>
      <c r="H33" s="1"/>
      <c r="I33" s="1"/>
      <c r="J33" s="1"/>
      <c r="K33" s="69"/>
      <c r="L33" s="69"/>
      <c r="M33" s="1"/>
      <c r="N33" s="1"/>
      <c r="O33" s="1"/>
      <c r="P33" s="1"/>
      <c r="Q33" s="69"/>
      <c r="R33" s="1"/>
      <c r="S33" s="1"/>
      <c r="T33" s="70" t="b">
        <v>0</v>
      </c>
      <c r="U33" s="1"/>
      <c r="V33" s="1"/>
      <c r="W33" s="1"/>
      <c r="X33" s="71" t="e">
        <f t="array" aca="1" ref="X33" ca="1">_xludf.XLOOKUP(A33,'WER 로그'!A:A,'WER 로그'!I:I,"")</f>
        <v>#NAME?</v>
      </c>
      <c r="Y33" s="70" t="e">
        <f t="array" aca="1" ref="Y33" ca="1">IF(AND(_xludf.XLOOKUP(A33,'5. 납품 전 체크리스트'!A:A,'5. 납품 전 체크리스트'!D:M,"",0)),TRUE,FALSE)</f>
        <v>#NAME?</v>
      </c>
      <c r="Z33" s="1"/>
    </row>
    <row r="34" spans="1:26" ht="22.5" customHeight="1">
      <c r="A34" s="1" t="str">
        <f>'2. 도서 정보'!A35</f>
        <v>SS0033</v>
      </c>
      <c r="B34" s="1" t="e">
        <f t="array" aca="1" ref="B34" ca="1">_xludf.XLOOKUP($A34,도서_정보[ID],도서_정보[도서명],"")</f>
        <v>#NAME?</v>
      </c>
      <c r="C34" s="1" t="e">
        <f t="array" aca="1" ref="C34" ca="1">_xludf.XLOOKUP($A34,도서_정보[ID],도서_정보[작업 페이지],"")</f>
        <v>#NAME?</v>
      </c>
      <c r="D34" s="1" t="e">
        <f t="array" aca="1" ref="D34" ca="1">_xludf.XLOOKUP($A34,도서_정보[ID],도서_정보[난이도],"")</f>
        <v>#NAME?</v>
      </c>
      <c r="E34" s="1" t="e">
        <f t="array" aca="1" ref="E34" ca="1">_xludf.XLOOKUP($A34,도서_정보[ID],도서_정보[추출 방식],"")</f>
        <v>#NAME?</v>
      </c>
      <c r="F34" s="69"/>
      <c r="G34" s="69"/>
      <c r="H34" s="1"/>
      <c r="I34" s="1"/>
      <c r="J34" s="1"/>
      <c r="K34" s="69"/>
      <c r="L34" s="69"/>
      <c r="M34" s="1"/>
      <c r="N34" s="1"/>
      <c r="O34" s="1"/>
      <c r="P34" s="1"/>
      <c r="Q34" s="69"/>
      <c r="R34" s="1"/>
      <c r="S34" s="1"/>
      <c r="T34" s="70" t="b">
        <v>0</v>
      </c>
      <c r="U34" s="1"/>
      <c r="V34" s="1"/>
      <c r="W34" s="1"/>
      <c r="X34" s="71" t="e">
        <f t="array" aca="1" ref="X34" ca="1">_xludf.XLOOKUP(A34,'WER 로그'!A:A,'WER 로그'!I:I,"")</f>
        <v>#NAME?</v>
      </c>
      <c r="Y34" s="70" t="e">
        <f t="array" aca="1" ref="Y34" ca="1">IF(AND(_xludf.XLOOKUP(A34,'5. 납품 전 체크리스트'!A:A,'5. 납품 전 체크리스트'!D:M,"",0)),TRUE,FALSE)</f>
        <v>#NAME?</v>
      </c>
      <c r="Z34" s="1"/>
    </row>
    <row r="35" spans="1:26" ht="22.5" customHeight="1">
      <c r="A35" s="1" t="str">
        <f>'2. 도서 정보'!A36</f>
        <v>SS0034</v>
      </c>
      <c r="B35" s="1" t="e">
        <f t="array" aca="1" ref="B35" ca="1">_xludf.XLOOKUP($A35,도서_정보[ID],도서_정보[도서명],"")</f>
        <v>#NAME?</v>
      </c>
      <c r="C35" s="1" t="e">
        <f t="array" aca="1" ref="C35" ca="1">_xludf.XLOOKUP($A35,도서_정보[ID],도서_정보[작업 페이지],"")</f>
        <v>#NAME?</v>
      </c>
      <c r="D35" s="1" t="e">
        <f t="array" aca="1" ref="D35" ca="1">_xludf.XLOOKUP($A35,도서_정보[ID],도서_정보[난이도],"")</f>
        <v>#NAME?</v>
      </c>
      <c r="E35" s="1" t="e">
        <f t="array" aca="1" ref="E35" ca="1">_xludf.XLOOKUP($A35,도서_정보[ID],도서_정보[추출 방식],"")</f>
        <v>#NAME?</v>
      </c>
      <c r="F35" s="69"/>
      <c r="G35" s="69"/>
      <c r="H35" s="1"/>
      <c r="I35" s="1"/>
      <c r="J35" s="1"/>
      <c r="K35" s="69"/>
      <c r="L35" s="69"/>
      <c r="M35" s="1"/>
      <c r="N35" s="1"/>
      <c r="O35" s="1"/>
      <c r="P35" s="1"/>
      <c r="Q35" s="69"/>
      <c r="R35" s="1"/>
      <c r="S35" s="1"/>
      <c r="T35" s="70" t="b">
        <v>0</v>
      </c>
      <c r="U35" s="1"/>
      <c r="V35" s="1"/>
      <c r="W35" s="1"/>
      <c r="X35" s="71" t="e">
        <f t="array" aca="1" ref="X35" ca="1">_xludf.XLOOKUP(A35,'WER 로그'!A:A,'WER 로그'!I:I,"")</f>
        <v>#NAME?</v>
      </c>
      <c r="Y35" s="70" t="e">
        <f t="array" aca="1" ref="Y35" ca="1">IF(AND(_xludf.XLOOKUP(A35,'5. 납품 전 체크리스트'!A:A,'5. 납품 전 체크리스트'!D:M,"",0)),TRUE,FALSE)</f>
        <v>#NAME?</v>
      </c>
      <c r="Z35" s="1"/>
    </row>
    <row r="36" spans="1:26" ht="22.5" customHeight="1">
      <c r="A36" s="1" t="str">
        <f>'2. 도서 정보'!A37</f>
        <v>SS0035</v>
      </c>
      <c r="B36" s="1" t="e">
        <f t="array" aca="1" ref="B36" ca="1">_xludf.XLOOKUP($A36,도서_정보[ID],도서_정보[도서명],"")</f>
        <v>#NAME?</v>
      </c>
      <c r="C36" s="1" t="e">
        <f t="array" aca="1" ref="C36" ca="1">_xludf.XLOOKUP($A36,도서_정보[ID],도서_정보[작업 페이지],"")</f>
        <v>#NAME?</v>
      </c>
      <c r="D36" s="1" t="e">
        <f t="array" aca="1" ref="D36" ca="1">_xludf.XLOOKUP($A36,도서_정보[ID],도서_정보[난이도],"")</f>
        <v>#NAME?</v>
      </c>
      <c r="E36" s="1" t="e">
        <f t="array" aca="1" ref="E36" ca="1">_xludf.XLOOKUP($A36,도서_정보[ID],도서_정보[추출 방식],"")</f>
        <v>#NAME?</v>
      </c>
      <c r="F36" s="69"/>
      <c r="G36" s="69"/>
      <c r="H36" s="1"/>
      <c r="I36" s="1"/>
      <c r="J36" s="1"/>
      <c r="K36" s="69"/>
      <c r="L36" s="69"/>
      <c r="M36" s="1"/>
      <c r="N36" s="1"/>
      <c r="O36" s="1"/>
      <c r="P36" s="1"/>
      <c r="Q36" s="69"/>
      <c r="R36" s="1"/>
      <c r="S36" s="1"/>
      <c r="T36" s="70" t="b">
        <v>0</v>
      </c>
      <c r="U36" s="1"/>
      <c r="V36" s="1"/>
      <c r="W36" s="1"/>
      <c r="X36" s="71" t="e">
        <f t="array" aca="1" ref="X36" ca="1">_xludf.XLOOKUP(A36,'WER 로그'!A:A,'WER 로그'!I:I,"")</f>
        <v>#NAME?</v>
      </c>
      <c r="Y36" s="70" t="e">
        <f t="array" aca="1" ref="Y36" ca="1">IF(AND(_xludf.XLOOKUP(A36,'5. 납품 전 체크리스트'!A:A,'5. 납품 전 체크리스트'!D:M,"",0)),TRUE,FALSE)</f>
        <v>#NAME?</v>
      </c>
      <c r="Z36" s="1"/>
    </row>
    <row r="37" spans="1:26" ht="22.5" customHeight="1">
      <c r="A37" s="1" t="str">
        <f>'2. 도서 정보'!A38</f>
        <v>SS0036</v>
      </c>
      <c r="B37" s="1" t="e">
        <f t="array" aca="1" ref="B37" ca="1">_xludf.XLOOKUP($A37,도서_정보[ID],도서_정보[도서명],"")</f>
        <v>#NAME?</v>
      </c>
      <c r="C37" s="1" t="e">
        <f t="array" aca="1" ref="C37" ca="1">_xludf.XLOOKUP($A37,도서_정보[ID],도서_정보[작업 페이지],"")</f>
        <v>#NAME?</v>
      </c>
      <c r="D37" s="1" t="e">
        <f t="array" aca="1" ref="D37" ca="1">_xludf.XLOOKUP($A37,도서_정보[ID],도서_정보[난이도],"")</f>
        <v>#NAME?</v>
      </c>
      <c r="E37" s="1" t="e">
        <f t="array" aca="1" ref="E37" ca="1">_xludf.XLOOKUP($A37,도서_정보[ID],도서_정보[추출 방식],"")</f>
        <v>#NAME?</v>
      </c>
      <c r="F37" s="69"/>
      <c r="G37" s="69"/>
      <c r="H37" s="1"/>
      <c r="I37" s="1"/>
      <c r="J37" s="1"/>
      <c r="K37" s="69"/>
      <c r="L37" s="69"/>
      <c r="M37" s="1"/>
      <c r="N37" s="1"/>
      <c r="O37" s="1"/>
      <c r="P37" s="1"/>
      <c r="Q37" s="69"/>
      <c r="R37" s="1"/>
      <c r="S37" s="1"/>
      <c r="T37" s="70" t="b">
        <v>0</v>
      </c>
      <c r="U37" s="1"/>
      <c r="V37" s="1"/>
      <c r="W37" s="1"/>
      <c r="X37" s="71" t="e">
        <f t="array" aca="1" ref="X37" ca="1">_xludf.XLOOKUP(A37,'WER 로그'!A:A,'WER 로그'!I:I,"")</f>
        <v>#NAME?</v>
      </c>
      <c r="Y37" s="70" t="e">
        <f t="array" aca="1" ref="Y37" ca="1">IF(AND(_xludf.XLOOKUP(A37,'5. 납품 전 체크리스트'!A:A,'5. 납품 전 체크리스트'!D:M,"",0)),TRUE,FALSE)</f>
        <v>#NAME?</v>
      </c>
      <c r="Z37" s="1"/>
    </row>
    <row r="38" spans="1:26" ht="22.5" customHeight="1">
      <c r="A38" s="1" t="str">
        <f>'2. 도서 정보'!A39</f>
        <v>SS0037</v>
      </c>
      <c r="B38" s="1" t="e">
        <f t="array" aca="1" ref="B38" ca="1">_xludf.XLOOKUP($A38,도서_정보[ID],도서_정보[도서명],"")</f>
        <v>#NAME?</v>
      </c>
      <c r="C38" s="1" t="e">
        <f t="array" aca="1" ref="C38" ca="1">_xludf.XLOOKUP($A38,도서_정보[ID],도서_정보[작업 페이지],"")</f>
        <v>#NAME?</v>
      </c>
      <c r="D38" s="1" t="e">
        <f t="array" aca="1" ref="D38" ca="1">_xludf.XLOOKUP($A38,도서_정보[ID],도서_정보[난이도],"")</f>
        <v>#NAME?</v>
      </c>
      <c r="E38" s="1" t="e">
        <f t="array" aca="1" ref="E38" ca="1">_xludf.XLOOKUP($A38,도서_정보[ID],도서_정보[추출 방식],"")</f>
        <v>#NAME?</v>
      </c>
      <c r="F38" s="69"/>
      <c r="G38" s="69"/>
      <c r="H38" s="1"/>
      <c r="I38" s="1"/>
      <c r="J38" s="1"/>
      <c r="K38" s="69"/>
      <c r="L38" s="69"/>
      <c r="M38" s="1"/>
      <c r="N38" s="1"/>
      <c r="O38" s="1"/>
      <c r="P38" s="1"/>
      <c r="Q38" s="69"/>
      <c r="R38" s="1"/>
      <c r="S38" s="1"/>
      <c r="T38" s="70" t="b">
        <v>0</v>
      </c>
      <c r="U38" s="1"/>
      <c r="V38" s="1"/>
      <c r="W38" s="1"/>
      <c r="X38" s="71" t="e">
        <f t="array" aca="1" ref="X38" ca="1">_xludf.XLOOKUP(A38,'WER 로그'!A:A,'WER 로그'!I:I,"")</f>
        <v>#NAME?</v>
      </c>
      <c r="Y38" s="70" t="e">
        <f t="array" aca="1" ref="Y38" ca="1">IF(AND(_xludf.XLOOKUP(A38,'5. 납품 전 체크리스트'!A:A,'5. 납품 전 체크리스트'!D:M,"",0)),TRUE,FALSE)</f>
        <v>#NAME?</v>
      </c>
      <c r="Z38" s="1"/>
    </row>
    <row r="39" spans="1:26" ht="22.5" customHeight="1">
      <c r="A39" s="1" t="str">
        <f>'2. 도서 정보'!A40</f>
        <v>SS0038</v>
      </c>
      <c r="B39" s="1" t="e">
        <f t="array" aca="1" ref="B39" ca="1">_xludf.XLOOKUP($A39,도서_정보[ID],도서_정보[도서명],"")</f>
        <v>#NAME?</v>
      </c>
      <c r="C39" s="1" t="e">
        <f t="array" aca="1" ref="C39" ca="1">_xludf.XLOOKUP($A39,도서_정보[ID],도서_정보[작업 페이지],"")</f>
        <v>#NAME?</v>
      </c>
      <c r="D39" s="1" t="e">
        <f t="array" aca="1" ref="D39" ca="1">_xludf.XLOOKUP($A39,도서_정보[ID],도서_정보[난이도],"")</f>
        <v>#NAME?</v>
      </c>
      <c r="E39" s="1" t="e">
        <f t="array" aca="1" ref="E39" ca="1">_xludf.XLOOKUP($A39,도서_정보[ID],도서_정보[추출 방식],"")</f>
        <v>#NAME?</v>
      </c>
      <c r="F39" s="69"/>
      <c r="G39" s="69"/>
      <c r="H39" s="1"/>
      <c r="I39" s="1"/>
      <c r="J39" s="1"/>
      <c r="K39" s="69"/>
      <c r="L39" s="69"/>
      <c r="M39" s="1"/>
      <c r="N39" s="1"/>
      <c r="O39" s="1"/>
      <c r="P39" s="1"/>
      <c r="Q39" s="69"/>
      <c r="R39" s="1"/>
      <c r="S39" s="1"/>
      <c r="T39" s="70" t="b">
        <v>0</v>
      </c>
      <c r="U39" s="1"/>
      <c r="V39" s="1"/>
      <c r="W39" s="1"/>
      <c r="X39" s="71" t="e">
        <f t="array" aca="1" ref="X39" ca="1">_xludf.XLOOKUP(A39,'WER 로그'!A:A,'WER 로그'!I:I,"")</f>
        <v>#NAME?</v>
      </c>
      <c r="Y39" s="70" t="e">
        <f t="array" aca="1" ref="Y39" ca="1">IF(AND(_xludf.XLOOKUP(A39,'5. 납품 전 체크리스트'!A:A,'5. 납품 전 체크리스트'!D:M,"",0)),TRUE,FALSE)</f>
        <v>#NAME?</v>
      </c>
      <c r="Z39" s="1"/>
    </row>
    <row r="40" spans="1:26" ht="22.5" customHeight="1">
      <c r="A40" s="1" t="str">
        <f>'2. 도서 정보'!A41</f>
        <v>SS0039</v>
      </c>
      <c r="B40" s="1" t="e">
        <f t="array" aca="1" ref="B40" ca="1">_xludf.XLOOKUP($A40,도서_정보[ID],도서_정보[도서명],"")</f>
        <v>#NAME?</v>
      </c>
      <c r="C40" s="1" t="e">
        <f t="array" aca="1" ref="C40" ca="1">_xludf.XLOOKUP($A40,도서_정보[ID],도서_정보[작업 페이지],"")</f>
        <v>#NAME?</v>
      </c>
      <c r="D40" s="1" t="e">
        <f t="array" aca="1" ref="D40" ca="1">_xludf.XLOOKUP($A40,도서_정보[ID],도서_정보[난이도],"")</f>
        <v>#NAME?</v>
      </c>
      <c r="E40" s="1" t="e">
        <f t="array" aca="1" ref="E40" ca="1">_xludf.XLOOKUP($A40,도서_정보[ID],도서_정보[추출 방식],"")</f>
        <v>#NAME?</v>
      </c>
      <c r="F40" s="69"/>
      <c r="G40" s="69"/>
      <c r="H40" s="1"/>
      <c r="I40" s="1"/>
      <c r="J40" s="1"/>
      <c r="K40" s="69"/>
      <c r="L40" s="69"/>
      <c r="M40" s="1"/>
      <c r="N40" s="1"/>
      <c r="O40" s="1"/>
      <c r="P40" s="1"/>
      <c r="Q40" s="69"/>
      <c r="R40" s="1"/>
      <c r="S40" s="1"/>
      <c r="T40" s="70" t="b">
        <v>0</v>
      </c>
      <c r="U40" s="1"/>
      <c r="V40" s="1"/>
      <c r="W40" s="1"/>
      <c r="X40" s="71" t="e">
        <f t="array" aca="1" ref="X40" ca="1">_xludf.XLOOKUP(A40,'WER 로그'!A:A,'WER 로그'!I:I,"")</f>
        <v>#NAME?</v>
      </c>
      <c r="Y40" s="70" t="e">
        <f t="array" aca="1" ref="Y40" ca="1">IF(AND(_xludf.XLOOKUP(A40,'5. 납품 전 체크리스트'!A:A,'5. 납품 전 체크리스트'!D:M,"",0)),TRUE,FALSE)</f>
        <v>#NAME?</v>
      </c>
      <c r="Z40" s="1"/>
    </row>
    <row r="41" spans="1:26" ht="22.5" customHeight="1">
      <c r="A41" s="1" t="str">
        <f>'2. 도서 정보'!A42</f>
        <v>SS0040</v>
      </c>
      <c r="B41" s="1" t="e">
        <f t="array" aca="1" ref="B41" ca="1">_xludf.XLOOKUP($A41,도서_정보[ID],도서_정보[도서명],"")</f>
        <v>#NAME?</v>
      </c>
      <c r="C41" s="1" t="e">
        <f t="array" aca="1" ref="C41" ca="1">_xludf.XLOOKUP($A41,도서_정보[ID],도서_정보[작업 페이지],"")</f>
        <v>#NAME?</v>
      </c>
      <c r="D41" s="1" t="e">
        <f t="array" aca="1" ref="D41" ca="1">_xludf.XLOOKUP($A41,도서_정보[ID],도서_정보[난이도],"")</f>
        <v>#NAME?</v>
      </c>
      <c r="E41" s="1" t="e">
        <f t="array" aca="1" ref="E41" ca="1">_xludf.XLOOKUP($A41,도서_정보[ID],도서_정보[추출 방식],"")</f>
        <v>#NAME?</v>
      </c>
      <c r="F41" s="69"/>
      <c r="G41" s="69"/>
      <c r="H41" s="1"/>
      <c r="I41" s="1"/>
      <c r="J41" s="1"/>
      <c r="K41" s="69"/>
      <c r="L41" s="69"/>
      <c r="M41" s="1"/>
      <c r="N41" s="1"/>
      <c r="O41" s="1"/>
      <c r="P41" s="1"/>
      <c r="Q41" s="69"/>
      <c r="R41" s="1"/>
      <c r="S41" s="1"/>
      <c r="T41" s="70" t="b">
        <v>0</v>
      </c>
      <c r="U41" s="1"/>
      <c r="V41" s="1"/>
      <c r="W41" s="1"/>
      <c r="X41" s="71" t="e">
        <f t="array" aca="1" ref="X41" ca="1">_xludf.XLOOKUP(A41,'WER 로그'!A:A,'WER 로그'!I:I,"")</f>
        <v>#NAME?</v>
      </c>
      <c r="Y41" s="70" t="e">
        <f t="array" aca="1" ref="Y41" ca="1">IF(AND(_xludf.XLOOKUP(A41,'5. 납품 전 체크리스트'!A:A,'5. 납품 전 체크리스트'!D:M,"",0)),TRUE,FALSE)</f>
        <v>#NAME?</v>
      </c>
      <c r="Z41" s="1"/>
    </row>
    <row r="42" spans="1:26" ht="22.5" customHeight="1">
      <c r="A42" s="1" t="str">
        <f>'2. 도서 정보'!A43</f>
        <v>SS0041</v>
      </c>
      <c r="B42" s="1" t="e">
        <f t="array" aca="1" ref="B42" ca="1">_xludf.XLOOKUP($A42,도서_정보[ID],도서_정보[도서명],"")</f>
        <v>#NAME?</v>
      </c>
      <c r="C42" s="1" t="e">
        <f t="array" aca="1" ref="C42" ca="1">_xludf.XLOOKUP($A42,도서_정보[ID],도서_정보[작업 페이지],"")</f>
        <v>#NAME?</v>
      </c>
      <c r="D42" s="1" t="e">
        <f t="array" aca="1" ref="D42" ca="1">_xludf.XLOOKUP($A42,도서_정보[ID],도서_정보[난이도],"")</f>
        <v>#NAME?</v>
      </c>
      <c r="E42" s="1" t="e">
        <f t="array" aca="1" ref="E42" ca="1">_xludf.XLOOKUP($A42,도서_정보[ID],도서_정보[추출 방식],"")</f>
        <v>#NAME?</v>
      </c>
      <c r="F42" s="69"/>
      <c r="G42" s="69"/>
      <c r="H42" s="1"/>
      <c r="I42" s="1"/>
      <c r="J42" s="1"/>
      <c r="K42" s="69"/>
      <c r="L42" s="69"/>
      <c r="M42" s="1"/>
      <c r="N42" s="1"/>
      <c r="O42" s="1"/>
      <c r="P42" s="1"/>
      <c r="Q42" s="69"/>
      <c r="R42" s="1"/>
      <c r="S42" s="1"/>
      <c r="T42" s="70" t="b">
        <v>0</v>
      </c>
      <c r="U42" s="1"/>
      <c r="V42" s="1"/>
      <c r="W42" s="1"/>
      <c r="X42" s="71" t="e">
        <f t="array" aca="1" ref="X42" ca="1">_xludf.XLOOKUP(A42,'WER 로그'!A:A,'WER 로그'!I:I,"")</f>
        <v>#NAME?</v>
      </c>
      <c r="Y42" s="70" t="e">
        <f t="array" aca="1" ref="Y42" ca="1">IF(AND(_xludf.XLOOKUP(A42,'5. 납품 전 체크리스트'!A:A,'5. 납품 전 체크리스트'!D:M,"",0)),TRUE,FALSE)</f>
        <v>#NAME?</v>
      </c>
      <c r="Z42" s="1"/>
    </row>
    <row r="43" spans="1:26" ht="22.5" customHeight="1">
      <c r="A43" s="1" t="str">
        <f>'2. 도서 정보'!A44</f>
        <v>SS0042</v>
      </c>
      <c r="B43" s="1" t="e">
        <f t="array" aca="1" ref="B43" ca="1">_xludf.XLOOKUP($A43,도서_정보[ID],도서_정보[도서명],"")</f>
        <v>#NAME?</v>
      </c>
      <c r="C43" s="1" t="e">
        <f t="array" aca="1" ref="C43" ca="1">_xludf.XLOOKUP($A43,도서_정보[ID],도서_정보[작업 페이지],"")</f>
        <v>#NAME?</v>
      </c>
      <c r="D43" s="1" t="e">
        <f t="array" aca="1" ref="D43" ca="1">_xludf.XLOOKUP($A43,도서_정보[ID],도서_정보[난이도],"")</f>
        <v>#NAME?</v>
      </c>
      <c r="E43" s="1" t="e">
        <f t="array" aca="1" ref="E43" ca="1">_xludf.XLOOKUP($A43,도서_정보[ID],도서_정보[추출 방식],"")</f>
        <v>#NAME?</v>
      </c>
      <c r="F43" s="69"/>
      <c r="G43" s="69"/>
      <c r="H43" s="1"/>
      <c r="I43" s="1"/>
      <c r="J43" s="1"/>
      <c r="K43" s="69"/>
      <c r="L43" s="69"/>
      <c r="M43" s="1"/>
      <c r="N43" s="1"/>
      <c r="O43" s="1"/>
      <c r="P43" s="1"/>
      <c r="Q43" s="69"/>
      <c r="R43" s="1"/>
      <c r="S43" s="1"/>
      <c r="T43" s="70" t="b">
        <v>0</v>
      </c>
      <c r="U43" s="1"/>
      <c r="V43" s="1"/>
      <c r="W43" s="1"/>
      <c r="X43" s="71" t="e">
        <f t="array" aca="1" ref="X43" ca="1">_xludf.XLOOKUP(A43,'WER 로그'!A:A,'WER 로그'!I:I,"")</f>
        <v>#NAME?</v>
      </c>
      <c r="Y43" s="70" t="e">
        <f t="array" aca="1" ref="Y43" ca="1">IF(AND(_xludf.XLOOKUP(A43,'5. 납품 전 체크리스트'!A:A,'5. 납품 전 체크리스트'!D:M,"",0)),TRUE,FALSE)</f>
        <v>#NAME?</v>
      </c>
      <c r="Z43" s="1"/>
    </row>
    <row r="44" spans="1:26" ht="22.5" customHeight="1">
      <c r="A44" s="1" t="str">
        <f>'2. 도서 정보'!A45</f>
        <v>SS0043</v>
      </c>
      <c r="B44" s="1" t="e">
        <f t="array" aca="1" ref="B44" ca="1">_xludf.XLOOKUP($A44,도서_정보[ID],도서_정보[도서명],"")</f>
        <v>#NAME?</v>
      </c>
      <c r="C44" s="1" t="e">
        <f t="array" aca="1" ref="C44" ca="1">_xludf.XLOOKUP($A44,도서_정보[ID],도서_정보[작업 페이지],"")</f>
        <v>#NAME?</v>
      </c>
      <c r="D44" s="1" t="e">
        <f t="array" aca="1" ref="D44" ca="1">_xludf.XLOOKUP($A44,도서_정보[ID],도서_정보[난이도],"")</f>
        <v>#NAME?</v>
      </c>
      <c r="E44" s="1" t="e">
        <f t="array" aca="1" ref="E44" ca="1">_xludf.XLOOKUP($A44,도서_정보[ID],도서_정보[추출 방식],"")</f>
        <v>#NAME?</v>
      </c>
      <c r="F44" s="69"/>
      <c r="G44" s="69"/>
      <c r="H44" s="1"/>
      <c r="I44" s="1"/>
      <c r="J44" s="1"/>
      <c r="K44" s="69"/>
      <c r="L44" s="69"/>
      <c r="M44" s="1"/>
      <c r="N44" s="1"/>
      <c r="O44" s="1"/>
      <c r="P44" s="1"/>
      <c r="Q44" s="69"/>
      <c r="R44" s="1"/>
      <c r="S44" s="1"/>
      <c r="T44" s="70" t="b">
        <v>0</v>
      </c>
      <c r="U44" s="1"/>
      <c r="V44" s="1"/>
      <c r="W44" s="1"/>
      <c r="X44" s="71" t="e">
        <f t="array" aca="1" ref="X44" ca="1">_xludf.XLOOKUP(A44,'WER 로그'!A:A,'WER 로그'!I:I,"")</f>
        <v>#NAME?</v>
      </c>
      <c r="Y44" s="70" t="e">
        <f t="array" aca="1" ref="Y44" ca="1">IF(AND(_xludf.XLOOKUP(A44,'5. 납품 전 체크리스트'!A:A,'5. 납품 전 체크리스트'!D:M,"",0)),TRUE,FALSE)</f>
        <v>#NAME?</v>
      </c>
      <c r="Z44" s="1"/>
    </row>
    <row r="45" spans="1:26" ht="22.5" customHeight="1">
      <c r="A45" s="1" t="str">
        <f>'2. 도서 정보'!A46</f>
        <v>SS0044</v>
      </c>
      <c r="B45" s="1" t="e">
        <f t="array" aca="1" ref="B45" ca="1">_xludf.XLOOKUP($A45,도서_정보[ID],도서_정보[도서명],"")</f>
        <v>#NAME?</v>
      </c>
      <c r="C45" s="1" t="e">
        <f t="array" aca="1" ref="C45" ca="1">_xludf.XLOOKUP($A45,도서_정보[ID],도서_정보[작업 페이지],"")</f>
        <v>#NAME?</v>
      </c>
      <c r="D45" s="1" t="e">
        <f t="array" aca="1" ref="D45" ca="1">_xludf.XLOOKUP($A45,도서_정보[ID],도서_정보[난이도],"")</f>
        <v>#NAME?</v>
      </c>
      <c r="E45" s="1" t="e">
        <f t="array" aca="1" ref="E45" ca="1">_xludf.XLOOKUP($A45,도서_정보[ID],도서_정보[추출 방식],"")</f>
        <v>#NAME?</v>
      </c>
      <c r="F45" s="69"/>
      <c r="G45" s="69"/>
      <c r="H45" s="1"/>
      <c r="I45" s="1"/>
      <c r="J45" s="1"/>
      <c r="K45" s="69"/>
      <c r="L45" s="69"/>
      <c r="M45" s="1"/>
      <c r="N45" s="1"/>
      <c r="O45" s="1"/>
      <c r="P45" s="1"/>
      <c r="Q45" s="69"/>
      <c r="R45" s="1"/>
      <c r="S45" s="1"/>
      <c r="T45" s="70" t="b">
        <v>0</v>
      </c>
      <c r="U45" s="1"/>
      <c r="V45" s="1"/>
      <c r="W45" s="1"/>
      <c r="X45" s="71" t="e">
        <f t="array" aca="1" ref="X45" ca="1">_xludf.XLOOKUP(A45,'WER 로그'!A:A,'WER 로그'!I:I,"")</f>
        <v>#NAME?</v>
      </c>
      <c r="Y45" s="70" t="e">
        <f t="array" aca="1" ref="Y45" ca="1">IF(AND(_xludf.XLOOKUP(A45,'5. 납품 전 체크리스트'!A:A,'5. 납품 전 체크리스트'!D:M,"",0)),TRUE,FALSE)</f>
        <v>#NAME?</v>
      </c>
      <c r="Z45" s="1"/>
    </row>
    <row r="46" spans="1:26" ht="22.5" customHeight="1">
      <c r="A46" s="1" t="str">
        <f>'2. 도서 정보'!A47</f>
        <v>SS0045</v>
      </c>
      <c r="B46" s="1" t="e">
        <f t="array" aca="1" ref="B46" ca="1">_xludf.XLOOKUP($A46,도서_정보[ID],도서_정보[도서명],"")</f>
        <v>#NAME?</v>
      </c>
      <c r="C46" s="1" t="e">
        <f t="array" aca="1" ref="C46" ca="1">_xludf.XLOOKUP($A46,도서_정보[ID],도서_정보[작업 페이지],"")</f>
        <v>#NAME?</v>
      </c>
      <c r="D46" s="1" t="e">
        <f t="array" aca="1" ref="D46" ca="1">_xludf.XLOOKUP($A46,도서_정보[ID],도서_정보[난이도],"")</f>
        <v>#NAME?</v>
      </c>
      <c r="E46" s="1" t="e">
        <f t="array" aca="1" ref="E46" ca="1">_xludf.XLOOKUP($A46,도서_정보[ID],도서_정보[추출 방식],"")</f>
        <v>#NAME?</v>
      </c>
      <c r="F46" s="69"/>
      <c r="G46" s="69"/>
      <c r="H46" s="1"/>
      <c r="I46" s="1"/>
      <c r="J46" s="1"/>
      <c r="K46" s="69"/>
      <c r="L46" s="69"/>
      <c r="M46" s="1"/>
      <c r="N46" s="1"/>
      <c r="O46" s="1"/>
      <c r="P46" s="1"/>
      <c r="Q46" s="69"/>
      <c r="R46" s="1"/>
      <c r="S46" s="1"/>
      <c r="T46" s="70" t="b">
        <v>0</v>
      </c>
      <c r="U46" s="1"/>
      <c r="V46" s="1"/>
      <c r="W46" s="1"/>
      <c r="X46" s="71" t="e">
        <f t="array" aca="1" ref="X46" ca="1">_xludf.XLOOKUP(A46,'WER 로그'!A:A,'WER 로그'!I:I,"")</f>
        <v>#NAME?</v>
      </c>
      <c r="Y46" s="70" t="e">
        <f t="array" aca="1" ref="Y46" ca="1">IF(AND(_xludf.XLOOKUP(A46,'5. 납품 전 체크리스트'!A:A,'5. 납품 전 체크리스트'!D:M,"",0)),TRUE,FALSE)</f>
        <v>#NAME?</v>
      </c>
      <c r="Z46" s="1"/>
    </row>
    <row r="47" spans="1:26" ht="22.5" customHeight="1">
      <c r="A47" s="1" t="str">
        <f>'2. 도서 정보'!A48</f>
        <v>SS0046</v>
      </c>
      <c r="B47" s="1" t="e">
        <f t="array" aca="1" ref="B47" ca="1">_xludf.XLOOKUP($A47,도서_정보[ID],도서_정보[도서명],"")</f>
        <v>#NAME?</v>
      </c>
      <c r="C47" s="1" t="e">
        <f t="array" aca="1" ref="C47" ca="1">_xludf.XLOOKUP($A47,도서_정보[ID],도서_정보[작업 페이지],"")</f>
        <v>#NAME?</v>
      </c>
      <c r="D47" s="1" t="e">
        <f t="array" aca="1" ref="D47" ca="1">_xludf.XLOOKUP($A47,도서_정보[ID],도서_정보[난이도],"")</f>
        <v>#NAME?</v>
      </c>
      <c r="E47" s="1" t="e">
        <f t="array" aca="1" ref="E47" ca="1">_xludf.XLOOKUP($A47,도서_정보[ID],도서_정보[추출 방식],"")</f>
        <v>#NAME?</v>
      </c>
      <c r="F47" s="69"/>
      <c r="G47" s="69"/>
      <c r="H47" s="1"/>
      <c r="I47" s="1"/>
      <c r="J47" s="1"/>
      <c r="K47" s="69"/>
      <c r="L47" s="69"/>
      <c r="M47" s="1"/>
      <c r="N47" s="1"/>
      <c r="O47" s="1"/>
      <c r="P47" s="1"/>
      <c r="Q47" s="69"/>
      <c r="R47" s="1"/>
      <c r="S47" s="1"/>
      <c r="T47" s="70" t="b">
        <v>0</v>
      </c>
      <c r="U47" s="1"/>
      <c r="V47" s="1"/>
      <c r="W47" s="1"/>
      <c r="X47" s="71" t="e">
        <f t="array" aca="1" ref="X47" ca="1">_xludf.XLOOKUP(A47,'WER 로그'!A:A,'WER 로그'!I:I,"")</f>
        <v>#NAME?</v>
      </c>
      <c r="Y47" s="70" t="e">
        <f t="array" aca="1" ref="Y47" ca="1">IF(AND(_xludf.XLOOKUP(A47,'5. 납품 전 체크리스트'!A:A,'5. 납품 전 체크리스트'!D:M,"",0)),TRUE,FALSE)</f>
        <v>#NAME?</v>
      </c>
      <c r="Z47" s="1"/>
    </row>
    <row r="48" spans="1:26" ht="22.5" customHeight="1">
      <c r="A48" s="1" t="str">
        <f>'2. 도서 정보'!A49</f>
        <v>SS0047</v>
      </c>
      <c r="B48" s="1" t="e">
        <f t="array" aca="1" ref="B48" ca="1">_xludf.XLOOKUP($A48,도서_정보[ID],도서_정보[도서명],"")</f>
        <v>#NAME?</v>
      </c>
      <c r="C48" s="1" t="e">
        <f t="array" aca="1" ref="C48" ca="1">_xludf.XLOOKUP($A48,도서_정보[ID],도서_정보[작업 페이지],"")</f>
        <v>#NAME?</v>
      </c>
      <c r="D48" s="1" t="e">
        <f t="array" aca="1" ref="D48" ca="1">_xludf.XLOOKUP($A48,도서_정보[ID],도서_정보[난이도],"")</f>
        <v>#NAME?</v>
      </c>
      <c r="E48" s="1" t="e">
        <f t="array" aca="1" ref="E48" ca="1">_xludf.XLOOKUP($A48,도서_정보[ID],도서_정보[추출 방식],"")</f>
        <v>#NAME?</v>
      </c>
      <c r="F48" s="69"/>
      <c r="G48" s="69"/>
      <c r="H48" s="1"/>
      <c r="I48" s="1"/>
      <c r="J48" s="1"/>
      <c r="K48" s="69"/>
      <c r="L48" s="69"/>
      <c r="M48" s="1"/>
      <c r="N48" s="1"/>
      <c r="O48" s="1"/>
      <c r="P48" s="1"/>
      <c r="Q48" s="69"/>
      <c r="R48" s="1"/>
      <c r="S48" s="1"/>
      <c r="T48" s="70" t="b">
        <v>0</v>
      </c>
      <c r="U48" s="1"/>
      <c r="V48" s="1"/>
      <c r="W48" s="1"/>
      <c r="X48" s="71" t="e">
        <f t="array" aca="1" ref="X48" ca="1">_xludf.XLOOKUP(A48,'WER 로그'!A:A,'WER 로그'!I:I,"")</f>
        <v>#NAME?</v>
      </c>
      <c r="Y48" s="70" t="e">
        <f t="array" aca="1" ref="Y48" ca="1">IF(AND(_xludf.XLOOKUP(A48,'5. 납품 전 체크리스트'!A:A,'5. 납품 전 체크리스트'!D:M,"",0)),TRUE,FALSE)</f>
        <v>#NAME?</v>
      </c>
      <c r="Z48" s="1"/>
    </row>
    <row r="49" spans="1:26" ht="22.5" customHeight="1">
      <c r="A49" s="1" t="str">
        <f>'2. 도서 정보'!A50</f>
        <v>SS0048</v>
      </c>
      <c r="B49" s="1" t="e">
        <f t="array" aca="1" ref="B49" ca="1">_xludf.XLOOKUP($A49,도서_정보[ID],도서_정보[도서명],"")</f>
        <v>#NAME?</v>
      </c>
      <c r="C49" s="1" t="e">
        <f t="array" aca="1" ref="C49" ca="1">_xludf.XLOOKUP($A49,도서_정보[ID],도서_정보[작업 페이지],"")</f>
        <v>#NAME?</v>
      </c>
      <c r="D49" s="1" t="e">
        <f t="array" aca="1" ref="D49" ca="1">_xludf.XLOOKUP($A49,도서_정보[ID],도서_정보[난이도],"")</f>
        <v>#NAME?</v>
      </c>
      <c r="E49" s="1" t="e">
        <f t="array" aca="1" ref="E49" ca="1">_xludf.XLOOKUP($A49,도서_정보[ID],도서_정보[추출 방식],"")</f>
        <v>#NAME?</v>
      </c>
      <c r="F49" s="69"/>
      <c r="G49" s="69"/>
      <c r="H49" s="1"/>
      <c r="I49" s="1"/>
      <c r="J49" s="1"/>
      <c r="K49" s="69"/>
      <c r="L49" s="69"/>
      <c r="M49" s="1"/>
      <c r="N49" s="1"/>
      <c r="O49" s="1"/>
      <c r="P49" s="1"/>
      <c r="Q49" s="69"/>
      <c r="R49" s="1"/>
      <c r="S49" s="1"/>
      <c r="T49" s="70" t="b">
        <v>0</v>
      </c>
      <c r="U49" s="1"/>
      <c r="V49" s="1"/>
      <c r="W49" s="1"/>
      <c r="X49" s="71" t="e">
        <f t="array" aca="1" ref="X49" ca="1">_xludf.XLOOKUP(A49,'WER 로그'!A:A,'WER 로그'!I:I,"")</f>
        <v>#NAME?</v>
      </c>
      <c r="Y49" s="70" t="e">
        <f t="array" aca="1" ref="Y49" ca="1">IF(AND(_xludf.XLOOKUP(A49,'5. 납품 전 체크리스트'!A:A,'5. 납품 전 체크리스트'!D:M,"",0)),TRUE,FALSE)</f>
        <v>#NAME?</v>
      </c>
      <c r="Z49" s="1"/>
    </row>
    <row r="50" spans="1:26" ht="22.5" customHeight="1">
      <c r="A50" s="1" t="str">
        <f>'2. 도서 정보'!A51</f>
        <v>SS0049</v>
      </c>
      <c r="B50" s="1" t="e">
        <f t="array" aca="1" ref="B50" ca="1">_xludf.XLOOKUP($A50,도서_정보[ID],도서_정보[도서명],"")</f>
        <v>#NAME?</v>
      </c>
      <c r="C50" s="1" t="e">
        <f t="array" aca="1" ref="C50" ca="1">_xludf.XLOOKUP($A50,도서_정보[ID],도서_정보[작업 페이지],"")</f>
        <v>#NAME?</v>
      </c>
      <c r="D50" s="1" t="e">
        <f t="array" aca="1" ref="D50" ca="1">_xludf.XLOOKUP($A50,도서_정보[ID],도서_정보[난이도],"")</f>
        <v>#NAME?</v>
      </c>
      <c r="E50" s="1" t="e">
        <f t="array" aca="1" ref="E50" ca="1">_xludf.XLOOKUP($A50,도서_정보[ID],도서_정보[추출 방식],"")</f>
        <v>#NAME?</v>
      </c>
      <c r="F50" s="69"/>
      <c r="G50" s="69"/>
      <c r="H50" s="1"/>
      <c r="I50" s="1"/>
      <c r="J50" s="1"/>
      <c r="K50" s="69"/>
      <c r="L50" s="69"/>
      <c r="M50" s="1"/>
      <c r="N50" s="1"/>
      <c r="O50" s="1"/>
      <c r="P50" s="1"/>
      <c r="Q50" s="69"/>
      <c r="R50" s="1"/>
      <c r="S50" s="1"/>
      <c r="T50" s="70" t="b">
        <v>0</v>
      </c>
      <c r="U50" s="1"/>
      <c r="V50" s="1"/>
      <c r="W50" s="1"/>
      <c r="X50" s="71" t="e">
        <f t="array" aca="1" ref="X50" ca="1">_xludf.XLOOKUP(A50,'WER 로그'!A:A,'WER 로그'!I:I,"")</f>
        <v>#NAME?</v>
      </c>
      <c r="Y50" s="70" t="e">
        <f t="array" aca="1" ref="Y50" ca="1">IF(AND(_xludf.XLOOKUP(A50,'5. 납품 전 체크리스트'!A:A,'5. 납품 전 체크리스트'!D:M,"",0)),TRUE,FALSE)</f>
        <v>#NAME?</v>
      </c>
      <c r="Z50" s="1"/>
    </row>
    <row r="51" spans="1:26" ht="22.5" customHeight="1">
      <c r="A51" s="1" t="str">
        <f>'2. 도서 정보'!A52</f>
        <v>SS0050</v>
      </c>
      <c r="B51" s="1" t="e">
        <f t="array" aca="1" ref="B51" ca="1">_xludf.XLOOKUP($A51,도서_정보[ID],도서_정보[도서명],"")</f>
        <v>#NAME?</v>
      </c>
      <c r="C51" s="1" t="e">
        <f t="array" aca="1" ref="C51" ca="1">_xludf.XLOOKUP($A51,도서_정보[ID],도서_정보[작업 페이지],"")</f>
        <v>#NAME?</v>
      </c>
      <c r="D51" s="1" t="e">
        <f t="array" aca="1" ref="D51" ca="1">_xludf.XLOOKUP($A51,도서_정보[ID],도서_정보[난이도],"")</f>
        <v>#NAME?</v>
      </c>
      <c r="E51" s="1" t="e">
        <f t="array" aca="1" ref="E51" ca="1">_xludf.XLOOKUP($A51,도서_정보[ID],도서_정보[추출 방식],"")</f>
        <v>#NAME?</v>
      </c>
      <c r="F51" s="69"/>
      <c r="G51" s="69"/>
      <c r="H51" s="1"/>
      <c r="I51" s="1"/>
      <c r="J51" s="1"/>
      <c r="K51" s="69"/>
      <c r="L51" s="69"/>
      <c r="M51" s="1"/>
      <c r="N51" s="1"/>
      <c r="O51" s="1"/>
      <c r="P51" s="1"/>
      <c r="Q51" s="69"/>
      <c r="R51" s="1"/>
      <c r="S51" s="1"/>
      <c r="T51" s="70" t="b">
        <v>0</v>
      </c>
      <c r="U51" s="1"/>
      <c r="V51" s="1"/>
      <c r="W51" s="1"/>
      <c r="X51" s="71" t="e">
        <f t="array" aca="1" ref="X51" ca="1">_xludf.XLOOKUP(A51,'WER 로그'!A:A,'WER 로그'!I:I,"")</f>
        <v>#NAME?</v>
      </c>
      <c r="Y51" s="70" t="e">
        <f t="array" aca="1" ref="Y51" ca="1">IF(AND(_xludf.XLOOKUP(A51,'5. 납품 전 체크리스트'!A:A,'5. 납품 전 체크리스트'!D:M,"",0)),TRUE,FALSE)</f>
        <v>#NAME?</v>
      </c>
      <c r="Z51" s="1"/>
    </row>
    <row r="52" spans="1:26" ht="22.5" customHeight="1">
      <c r="A52" s="1" t="str">
        <f>'2. 도서 정보'!A53</f>
        <v>SS0051</v>
      </c>
      <c r="B52" s="1" t="e">
        <f t="array" aca="1" ref="B52" ca="1">_xludf.XLOOKUP($A52,도서_정보[ID],도서_정보[도서명],"")</f>
        <v>#NAME?</v>
      </c>
      <c r="C52" s="1" t="e">
        <f t="array" aca="1" ref="C52" ca="1">_xludf.XLOOKUP($A52,도서_정보[ID],도서_정보[작업 페이지],"")</f>
        <v>#NAME?</v>
      </c>
      <c r="D52" s="1" t="e">
        <f t="array" aca="1" ref="D52" ca="1">_xludf.XLOOKUP($A52,도서_정보[ID],도서_정보[난이도],"")</f>
        <v>#NAME?</v>
      </c>
      <c r="E52" s="1" t="e">
        <f t="array" aca="1" ref="E52" ca="1">_xludf.XLOOKUP($A52,도서_정보[ID],도서_정보[추출 방식],"")</f>
        <v>#NAME?</v>
      </c>
      <c r="F52" s="69"/>
      <c r="G52" s="69"/>
      <c r="H52" s="1"/>
      <c r="I52" s="1"/>
      <c r="J52" s="1"/>
      <c r="K52" s="69"/>
      <c r="L52" s="69"/>
      <c r="M52" s="1"/>
      <c r="N52" s="1"/>
      <c r="O52" s="1"/>
      <c r="P52" s="1"/>
      <c r="Q52" s="69"/>
      <c r="R52" s="1"/>
      <c r="S52" s="1"/>
      <c r="T52" s="70" t="b">
        <v>0</v>
      </c>
      <c r="U52" s="1"/>
      <c r="V52" s="1"/>
      <c r="W52" s="1"/>
      <c r="X52" s="71" t="e">
        <f t="array" aca="1" ref="X52" ca="1">_xludf.XLOOKUP(A52,'WER 로그'!A:A,'WER 로그'!I:I,"")</f>
        <v>#NAME?</v>
      </c>
      <c r="Y52" s="70" t="e">
        <f t="array" aca="1" ref="Y52" ca="1">IF(AND(_xludf.XLOOKUP(A52,'5. 납품 전 체크리스트'!A:A,'5. 납품 전 체크리스트'!D:M,"",0)),TRUE,FALSE)</f>
        <v>#NAME?</v>
      </c>
      <c r="Z52" s="1"/>
    </row>
    <row r="53" spans="1:26" ht="22.5" customHeight="1">
      <c r="A53" s="1" t="str">
        <f>'2. 도서 정보'!A54</f>
        <v>SS0052</v>
      </c>
      <c r="B53" s="1" t="e">
        <f t="array" aca="1" ref="B53" ca="1">_xludf.XLOOKUP($A53,도서_정보[ID],도서_정보[도서명],"")</f>
        <v>#NAME?</v>
      </c>
      <c r="C53" s="1" t="e">
        <f t="array" aca="1" ref="C53" ca="1">_xludf.XLOOKUP($A53,도서_정보[ID],도서_정보[작업 페이지],"")</f>
        <v>#NAME?</v>
      </c>
      <c r="D53" s="1" t="e">
        <f t="array" aca="1" ref="D53" ca="1">_xludf.XLOOKUP($A53,도서_정보[ID],도서_정보[난이도],"")</f>
        <v>#NAME?</v>
      </c>
      <c r="E53" s="1" t="e">
        <f t="array" aca="1" ref="E53" ca="1">_xludf.XLOOKUP($A53,도서_정보[ID],도서_정보[추출 방식],"")</f>
        <v>#NAME?</v>
      </c>
      <c r="F53" s="69"/>
      <c r="G53" s="69"/>
      <c r="H53" s="1"/>
      <c r="I53" s="1"/>
      <c r="J53" s="1"/>
      <c r="K53" s="69"/>
      <c r="L53" s="69"/>
      <c r="M53" s="1"/>
      <c r="N53" s="1"/>
      <c r="O53" s="1"/>
      <c r="P53" s="1"/>
      <c r="Q53" s="69"/>
      <c r="R53" s="1"/>
      <c r="S53" s="1"/>
      <c r="T53" s="70" t="b">
        <v>0</v>
      </c>
      <c r="U53" s="1"/>
      <c r="V53" s="1"/>
      <c r="W53" s="1"/>
      <c r="X53" s="71" t="e">
        <f t="array" aca="1" ref="X53" ca="1">_xludf.XLOOKUP(A53,'WER 로그'!A:A,'WER 로그'!I:I,"")</f>
        <v>#NAME?</v>
      </c>
      <c r="Y53" s="70" t="e">
        <f t="array" aca="1" ref="Y53" ca="1">IF(AND(_xludf.XLOOKUP(A53,'5. 납품 전 체크리스트'!A:A,'5. 납품 전 체크리스트'!D:M,"",0)),TRUE,FALSE)</f>
        <v>#NAME?</v>
      </c>
      <c r="Z53" s="1"/>
    </row>
    <row r="54" spans="1:26" ht="22.5" customHeight="1">
      <c r="A54" s="1" t="str">
        <f>'2. 도서 정보'!A55</f>
        <v>SS0053</v>
      </c>
      <c r="B54" s="1" t="e">
        <f t="array" aca="1" ref="B54" ca="1">_xludf.XLOOKUP($A54,도서_정보[ID],도서_정보[도서명],"")</f>
        <v>#NAME?</v>
      </c>
      <c r="C54" s="1" t="e">
        <f t="array" aca="1" ref="C54" ca="1">_xludf.XLOOKUP($A54,도서_정보[ID],도서_정보[작업 페이지],"")</f>
        <v>#NAME?</v>
      </c>
      <c r="D54" s="1" t="e">
        <f t="array" aca="1" ref="D54" ca="1">_xludf.XLOOKUP($A54,도서_정보[ID],도서_정보[난이도],"")</f>
        <v>#NAME?</v>
      </c>
      <c r="E54" s="1" t="e">
        <f t="array" aca="1" ref="E54" ca="1">_xludf.XLOOKUP($A54,도서_정보[ID],도서_정보[추출 방식],"")</f>
        <v>#NAME?</v>
      </c>
      <c r="F54" s="69"/>
      <c r="G54" s="69"/>
      <c r="H54" s="1"/>
      <c r="I54" s="1"/>
      <c r="J54" s="1"/>
      <c r="K54" s="69"/>
      <c r="L54" s="69"/>
      <c r="M54" s="1"/>
      <c r="N54" s="1"/>
      <c r="O54" s="1"/>
      <c r="P54" s="1"/>
      <c r="Q54" s="69"/>
      <c r="R54" s="1"/>
      <c r="S54" s="1"/>
      <c r="T54" s="70" t="b">
        <v>0</v>
      </c>
      <c r="U54" s="1"/>
      <c r="V54" s="1"/>
      <c r="W54" s="1"/>
      <c r="X54" s="71" t="e">
        <f t="array" aca="1" ref="X54" ca="1">_xludf.XLOOKUP(A54,'WER 로그'!A:A,'WER 로그'!I:I,"")</f>
        <v>#NAME?</v>
      </c>
      <c r="Y54" s="70" t="e">
        <f t="array" aca="1" ref="Y54" ca="1">IF(AND(_xludf.XLOOKUP(A54,'5. 납품 전 체크리스트'!A:A,'5. 납품 전 체크리스트'!D:M,"",0)),TRUE,FALSE)</f>
        <v>#NAME?</v>
      </c>
      <c r="Z54" s="1"/>
    </row>
    <row r="55" spans="1:26" ht="22.5" customHeight="1">
      <c r="A55" s="1" t="str">
        <f>'2. 도서 정보'!A56</f>
        <v>SS0054</v>
      </c>
      <c r="B55" s="1" t="e">
        <f t="array" aca="1" ref="B55" ca="1">_xludf.XLOOKUP($A55,도서_정보[ID],도서_정보[도서명],"")</f>
        <v>#NAME?</v>
      </c>
      <c r="C55" s="1" t="e">
        <f t="array" aca="1" ref="C55" ca="1">_xludf.XLOOKUP($A55,도서_정보[ID],도서_정보[작업 페이지],"")</f>
        <v>#NAME?</v>
      </c>
      <c r="D55" s="1" t="e">
        <f t="array" aca="1" ref="D55" ca="1">_xludf.XLOOKUP($A55,도서_정보[ID],도서_정보[난이도],"")</f>
        <v>#NAME?</v>
      </c>
      <c r="E55" s="1" t="e">
        <f t="array" aca="1" ref="E55" ca="1">_xludf.XLOOKUP($A55,도서_정보[ID],도서_정보[추출 방식],"")</f>
        <v>#NAME?</v>
      </c>
      <c r="F55" s="69"/>
      <c r="G55" s="69"/>
      <c r="H55" s="1"/>
      <c r="I55" s="1"/>
      <c r="J55" s="1"/>
      <c r="K55" s="69"/>
      <c r="L55" s="69"/>
      <c r="M55" s="1"/>
      <c r="N55" s="1"/>
      <c r="O55" s="1"/>
      <c r="P55" s="1"/>
      <c r="Q55" s="69"/>
      <c r="R55" s="1"/>
      <c r="S55" s="1"/>
      <c r="T55" s="70" t="b">
        <v>0</v>
      </c>
      <c r="U55" s="1"/>
      <c r="V55" s="1"/>
      <c r="W55" s="1"/>
      <c r="X55" s="71" t="e">
        <f t="array" aca="1" ref="X55" ca="1">_xludf.XLOOKUP(A55,'WER 로그'!A:A,'WER 로그'!I:I,"")</f>
        <v>#NAME?</v>
      </c>
      <c r="Y55" s="70" t="e">
        <f t="array" aca="1" ref="Y55" ca="1">IF(AND(_xludf.XLOOKUP(A55,'5. 납품 전 체크리스트'!A:A,'5. 납품 전 체크리스트'!D:M,"",0)),TRUE,FALSE)</f>
        <v>#NAME?</v>
      </c>
      <c r="Z55" s="1"/>
    </row>
    <row r="56" spans="1:26" ht="22.5" customHeight="1">
      <c r="A56" s="1" t="str">
        <f>'2. 도서 정보'!A57</f>
        <v>SS0055</v>
      </c>
      <c r="B56" s="1" t="e">
        <f t="array" aca="1" ref="B56" ca="1">_xludf.XLOOKUP($A56,도서_정보[ID],도서_정보[도서명],"")</f>
        <v>#NAME?</v>
      </c>
      <c r="C56" s="1" t="e">
        <f t="array" aca="1" ref="C56" ca="1">_xludf.XLOOKUP($A56,도서_정보[ID],도서_정보[작업 페이지],"")</f>
        <v>#NAME?</v>
      </c>
      <c r="D56" s="1" t="e">
        <f t="array" aca="1" ref="D56" ca="1">_xludf.XLOOKUP($A56,도서_정보[ID],도서_정보[난이도],"")</f>
        <v>#NAME?</v>
      </c>
      <c r="E56" s="1" t="e">
        <f t="array" aca="1" ref="E56" ca="1">_xludf.XLOOKUP($A56,도서_정보[ID],도서_정보[추출 방식],"")</f>
        <v>#NAME?</v>
      </c>
      <c r="F56" s="69"/>
      <c r="G56" s="69"/>
      <c r="H56" s="1"/>
      <c r="I56" s="1"/>
      <c r="J56" s="1"/>
      <c r="K56" s="69"/>
      <c r="L56" s="69"/>
      <c r="M56" s="1"/>
      <c r="N56" s="1"/>
      <c r="O56" s="1"/>
      <c r="P56" s="1"/>
      <c r="Q56" s="69"/>
      <c r="R56" s="1"/>
      <c r="S56" s="1"/>
      <c r="T56" s="70" t="b">
        <v>0</v>
      </c>
      <c r="U56" s="1"/>
      <c r="V56" s="1"/>
      <c r="W56" s="1"/>
      <c r="X56" s="71" t="e">
        <f t="array" aca="1" ref="X56" ca="1">_xludf.XLOOKUP(A56,'WER 로그'!A:A,'WER 로그'!I:I,"")</f>
        <v>#NAME?</v>
      </c>
      <c r="Y56" s="70" t="e">
        <f t="array" aca="1" ref="Y56" ca="1">IF(AND(_xludf.XLOOKUP(A56,'5. 납품 전 체크리스트'!A:A,'5. 납품 전 체크리스트'!D:M,"",0)),TRUE,FALSE)</f>
        <v>#NAME?</v>
      </c>
      <c r="Z56" s="1"/>
    </row>
    <row r="57" spans="1:26" ht="22.5" customHeight="1">
      <c r="A57" s="1" t="str">
        <f>'2. 도서 정보'!A58</f>
        <v>SS0056</v>
      </c>
      <c r="B57" s="1" t="e">
        <f t="array" aca="1" ref="B57" ca="1">_xludf.XLOOKUP($A57,도서_정보[ID],도서_정보[도서명],"")</f>
        <v>#NAME?</v>
      </c>
      <c r="C57" s="1" t="e">
        <f t="array" aca="1" ref="C57" ca="1">_xludf.XLOOKUP($A57,도서_정보[ID],도서_정보[작업 페이지],"")</f>
        <v>#NAME?</v>
      </c>
      <c r="D57" s="1" t="e">
        <f t="array" aca="1" ref="D57" ca="1">_xludf.XLOOKUP($A57,도서_정보[ID],도서_정보[난이도],"")</f>
        <v>#NAME?</v>
      </c>
      <c r="E57" s="1" t="e">
        <f t="array" aca="1" ref="E57" ca="1">_xludf.XLOOKUP($A57,도서_정보[ID],도서_정보[추출 방식],"")</f>
        <v>#NAME?</v>
      </c>
      <c r="F57" s="69"/>
      <c r="G57" s="69"/>
      <c r="H57" s="1"/>
      <c r="I57" s="1"/>
      <c r="J57" s="1"/>
      <c r="K57" s="69"/>
      <c r="L57" s="69"/>
      <c r="M57" s="1"/>
      <c r="N57" s="1"/>
      <c r="O57" s="1"/>
      <c r="P57" s="1"/>
      <c r="Q57" s="69"/>
      <c r="R57" s="1"/>
      <c r="S57" s="1"/>
      <c r="T57" s="70" t="b">
        <v>0</v>
      </c>
      <c r="U57" s="1"/>
      <c r="V57" s="1"/>
      <c r="W57" s="1"/>
      <c r="X57" s="71" t="e">
        <f t="array" aca="1" ref="X57" ca="1">_xludf.XLOOKUP(A57,'WER 로그'!A:A,'WER 로그'!I:I,"")</f>
        <v>#NAME?</v>
      </c>
      <c r="Y57" s="70" t="e">
        <f t="array" aca="1" ref="Y57" ca="1">IF(AND(_xludf.XLOOKUP(A57,'5. 납품 전 체크리스트'!A:A,'5. 납품 전 체크리스트'!D:M,"",0)),TRUE,FALSE)</f>
        <v>#NAME?</v>
      </c>
      <c r="Z57" s="1"/>
    </row>
    <row r="58" spans="1:26" ht="22.5" customHeight="1">
      <c r="A58" s="1" t="str">
        <f>'2. 도서 정보'!A59</f>
        <v>SS0057</v>
      </c>
      <c r="B58" s="1" t="e">
        <f t="array" aca="1" ref="B58" ca="1">_xludf.XLOOKUP($A58,도서_정보[ID],도서_정보[도서명],"")</f>
        <v>#NAME?</v>
      </c>
      <c r="C58" s="1" t="e">
        <f t="array" aca="1" ref="C58" ca="1">_xludf.XLOOKUP($A58,도서_정보[ID],도서_정보[작업 페이지],"")</f>
        <v>#NAME?</v>
      </c>
      <c r="D58" s="1" t="e">
        <f t="array" aca="1" ref="D58" ca="1">_xludf.XLOOKUP($A58,도서_정보[ID],도서_정보[난이도],"")</f>
        <v>#NAME?</v>
      </c>
      <c r="E58" s="1" t="e">
        <f t="array" aca="1" ref="E58" ca="1">_xludf.XLOOKUP($A58,도서_정보[ID],도서_정보[추출 방식],"")</f>
        <v>#NAME?</v>
      </c>
      <c r="F58" s="69"/>
      <c r="G58" s="69"/>
      <c r="H58" s="1"/>
      <c r="I58" s="1"/>
      <c r="J58" s="1"/>
      <c r="K58" s="69"/>
      <c r="L58" s="69"/>
      <c r="M58" s="1"/>
      <c r="N58" s="1"/>
      <c r="O58" s="1"/>
      <c r="P58" s="1"/>
      <c r="Q58" s="69"/>
      <c r="R58" s="1"/>
      <c r="S58" s="1"/>
      <c r="T58" s="70" t="b">
        <v>0</v>
      </c>
      <c r="U58" s="1"/>
      <c r="V58" s="1"/>
      <c r="W58" s="1"/>
      <c r="X58" s="71" t="e">
        <f t="array" aca="1" ref="X58" ca="1">_xludf.XLOOKUP(A58,'WER 로그'!A:A,'WER 로그'!I:I,"")</f>
        <v>#NAME?</v>
      </c>
      <c r="Y58" s="70" t="e">
        <f t="array" aca="1" ref="Y58" ca="1">IF(AND(_xludf.XLOOKUP(A58,'5. 납품 전 체크리스트'!A:A,'5. 납품 전 체크리스트'!D:M,"",0)),TRUE,FALSE)</f>
        <v>#NAME?</v>
      </c>
      <c r="Z58" s="1"/>
    </row>
    <row r="59" spans="1:26" ht="22.5" customHeight="1">
      <c r="A59" s="1" t="str">
        <f>'2. 도서 정보'!A60</f>
        <v>SS0058</v>
      </c>
      <c r="B59" s="1" t="e">
        <f t="array" aca="1" ref="B59" ca="1">_xludf.XLOOKUP($A59,도서_정보[ID],도서_정보[도서명],"")</f>
        <v>#NAME?</v>
      </c>
      <c r="C59" s="1" t="e">
        <f t="array" aca="1" ref="C59" ca="1">_xludf.XLOOKUP($A59,도서_정보[ID],도서_정보[작업 페이지],"")</f>
        <v>#NAME?</v>
      </c>
      <c r="D59" s="1" t="e">
        <f t="array" aca="1" ref="D59" ca="1">_xludf.XLOOKUP($A59,도서_정보[ID],도서_정보[난이도],"")</f>
        <v>#NAME?</v>
      </c>
      <c r="E59" s="1" t="e">
        <f t="array" aca="1" ref="E59" ca="1">_xludf.XLOOKUP($A59,도서_정보[ID],도서_정보[추출 방식],"")</f>
        <v>#NAME?</v>
      </c>
      <c r="F59" s="69"/>
      <c r="G59" s="69"/>
      <c r="H59" s="1"/>
      <c r="I59" s="1"/>
      <c r="J59" s="1"/>
      <c r="K59" s="69"/>
      <c r="L59" s="69"/>
      <c r="M59" s="1"/>
      <c r="N59" s="1"/>
      <c r="O59" s="1"/>
      <c r="P59" s="1"/>
      <c r="Q59" s="69"/>
      <c r="R59" s="1"/>
      <c r="S59" s="1"/>
      <c r="T59" s="70" t="b">
        <v>0</v>
      </c>
      <c r="U59" s="1"/>
      <c r="V59" s="1"/>
      <c r="W59" s="1"/>
      <c r="X59" s="71" t="e">
        <f t="array" aca="1" ref="X59" ca="1">_xludf.XLOOKUP(A59,'WER 로그'!A:A,'WER 로그'!I:I,"")</f>
        <v>#NAME?</v>
      </c>
      <c r="Y59" s="70" t="e">
        <f t="array" aca="1" ref="Y59" ca="1">IF(AND(_xludf.XLOOKUP(A59,'5. 납품 전 체크리스트'!A:A,'5. 납품 전 체크리스트'!D:M,"",0)),TRUE,FALSE)</f>
        <v>#NAME?</v>
      </c>
      <c r="Z59" s="1"/>
    </row>
    <row r="60" spans="1:26" ht="22.5" customHeight="1">
      <c r="A60" s="1" t="str">
        <f>'2. 도서 정보'!A61</f>
        <v>SS0059</v>
      </c>
      <c r="B60" s="1" t="e">
        <f t="array" aca="1" ref="B60" ca="1">_xludf.XLOOKUP($A60,도서_정보[ID],도서_정보[도서명],"")</f>
        <v>#NAME?</v>
      </c>
      <c r="C60" s="1" t="e">
        <f t="array" aca="1" ref="C60" ca="1">_xludf.XLOOKUP($A60,도서_정보[ID],도서_정보[작업 페이지],"")</f>
        <v>#NAME?</v>
      </c>
      <c r="D60" s="1" t="e">
        <f t="array" aca="1" ref="D60" ca="1">_xludf.XLOOKUP($A60,도서_정보[ID],도서_정보[난이도],"")</f>
        <v>#NAME?</v>
      </c>
      <c r="E60" s="1" t="e">
        <f t="array" aca="1" ref="E60" ca="1">_xludf.XLOOKUP($A60,도서_정보[ID],도서_정보[추출 방식],"")</f>
        <v>#NAME?</v>
      </c>
      <c r="F60" s="69"/>
      <c r="G60" s="69"/>
      <c r="H60" s="1"/>
      <c r="I60" s="1"/>
      <c r="J60" s="1"/>
      <c r="K60" s="69"/>
      <c r="L60" s="69"/>
      <c r="M60" s="1"/>
      <c r="N60" s="1"/>
      <c r="O60" s="1"/>
      <c r="P60" s="1"/>
      <c r="Q60" s="69"/>
      <c r="R60" s="1"/>
      <c r="S60" s="1"/>
      <c r="T60" s="70" t="b">
        <v>0</v>
      </c>
      <c r="U60" s="1"/>
      <c r="V60" s="1"/>
      <c r="W60" s="1"/>
      <c r="X60" s="71" t="e">
        <f t="array" aca="1" ref="X60" ca="1">_xludf.XLOOKUP(A60,'WER 로그'!A:A,'WER 로그'!I:I,"")</f>
        <v>#NAME?</v>
      </c>
      <c r="Y60" s="70" t="e">
        <f t="array" aca="1" ref="Y60" ca="1">IF(AND(_xludf.XLOOKUP(A60,'5. 납품 전 체크리스트'!A:A,'5. 납품 전 체크리스트'!D:M,"",0)),TRUE,FALSE)</f>
        <v>#NAME?</v>
      </c>
      <c r="Z60" s="1"/>
    </row>
    <row r="61" spans="1:26" ht="22.5" customHeight="1">
      <c r="A61" s="1" t="str">
        <f>'2. 도서 정보'!A62</f>
        <v>SS0060</v>
      </c>
      <c r="B61" s="1" t="e">
        <f t="array" aca="1" ref="B61" ca="1">_xludf.XLOOKUP($A61,도서_정보[ID],도서_정보[도서명],"")</f>
        <v>#NAME?</v>
      </c>
      <c r="C61" s="1" t="e">
        <f t="array" aca="1" ref="C61" ca="1">_xludf.XLOOKUP($A61,도서_정보[ID],도서_정보[작업 페이지],"")</f>
        <v>#NAME?</v>
      </c>
      <c r="D61" s="1" t="e">
        <f t="array" aca="1" ref="D61" ca="1">_xludf.XLOOKUP($A61,도서_정보[ID],도서_정보[난이도],"")</f>
        <v>#NAME?</v>
      </c>
      <c r="E61" s="1" t="e">
        <f t="array" aca="1" ref="E61" ca="1">_xludf.XLOOKUP($A61,도서_정보[ID],도서_정보[추출 방식],"")</f>
        <v>#NAME?</v>
      </c>
      <c r="F61" s="69"/>
      <c r="G61" s="69"/>
      <c r="H61" s="1"/>
      <c r="I61" s="1"/>
      <c r="J61" s="1"/>
      <c r="K61" s="69"/>
      <c r="L61" s="69"/>
      <c r="M61" s="1"/>
      <c r="N61" s="1"/>
      <c r="O61" s="1"/>
      <c r="P61" s="1"/>
      <c r="Q61" s="69"/>
      <c r="R61" s="1"/>
      <c r="S61" s="1"/>
      <c r="T61" s="70" t="b">
        <v>0</v>
      </c>
      <c r="U61" s="1"/>
      <c r="V61" s="1"/>
      <c r="W61" s="1"/>
      <c r="X61" s="71" t="e">
        <f t="array" aca="1" ref="X61" ca="1">_xludf.XLOOKUP(A61,'WER 로그'!A:A,'WER 로그'!I:I,"")</f>
        <v>#NAME?</v>
      </c>
      <c r="Y61" s="70" t="e">
        <f t="array" aca="1" ref="Y61" ca="1">IF(AND(_xludf.XLOOKUP(A61,'5. 납품 전 체크리스트'!A:A,'5. 납품 전 체크리스트'!D:M,"",0)),TRUE,FALSE)</f>
        <v>#NAME?</v>
      </c>
      <c r="Z61" s="1"/>
    </row>
    <row r="62" spans="1:26" ht="22.5" customHeight="1">
      <c r="A62" s="1" t="str">
        <f>'2. 도서 정보'!A63</f>
        <v>SS0061</v>
      </c>
      <c r="B62" s="1" t="e">
        <f t="array" aca="1" ref="B62" ca="1">_xludf.XLOOKUP($A62,도서_정보[ID],도서_정보[도서명],"")</f>
        <v>#NAME?</v>
      </c>
      <c r="C62" s="1" t="e">
        <f t="array" aca="1" ref="C62" ca="1">_xludf.XLOOKUP($A62,도서_정보[ID],도서_정보[작업 페이지],"")</f>
        <v>#NAME?</v>
      </c>
      <c r="D62" s="1" t="e">
        <f t="array" aca="1" ref="D62" ca="1">_xludf.XLOOKUP($A62,도서_정보[ID],도서_정보[난이도],"")</f>
        <v>#NAME?</v>
      </c>
      <c r="E62" s="1" t="e">
        <f t="array" aca="1" ref="E62" ca="1">_xludf.XLOOKUP($A62,도서_정보[ID],도서_정보[추출 방식],"")</f>
        <v>#NAME?</v>
      </c>
      <c r="F62" s="69"/>
      <c r="G62" s="69"/>
      <c r="H62" s="1"/>
      <c r="I62" s="1"/>
      <c r="J62" s="1"/>
      <c r="K62" s="69"/>
      <c r="L62" s="69"/>
      <c r="M62" s="1"/>
      <c r="N62" s="1"/>
      <c r="O62" s="1"/>
      <c r="P62" s="1"/>
      <c r="Q62" s="69"/>
      <c r="R62" s="1"/>
      <c r="S62" s="1"/>
      <c r="T62" s="70" t="b">
        <v>0</v>
      </c>
      <c r="U62" s="1"/>
      <c r="V62" s="1"/>
      <c r="W62" s="1"/>
      <c r="X62" s="71" t="e">
        <f t="array" aca="1" ref="X62" ca="1">_xludf.XLOOKUP(A62,'WER 로그'!A:A,'WER 로그'!I:I,"")</f>
        <v>#NAME?</v>
      </c>
      <c r="Y62" s="70" t="e">
        <f t="array" aca="1" ref="Y62" ca="1">IF(AND(_xludf.XLOOKUP(A62,'5. 납품 전 체크리스트'!A:A,'5. 납품 전 체크리스트'!D:M,"",0)),TRUE,FALSE)</f>
        <v>#NAME?</v>
      </c>
      <c r="Z62" s="1"/>
    </row>
    <row r="63" spans="1:26" ht="22.5" customHeight="1">
      <c r="A63" s="1" t="str">
        <f>'2. 도서 정보'!A64</f>
        <v>SS0062</v>
      </c>
      <c r="B63" s="1" t="e">
        <f t="array" aca="1" ref="B63" ca="1">_xludf.XLOOKUP($A63,도서_정보[ID],도서_정보[도서명],"")</f>
        <v>#NAME?</v>
      </c>
      <c r="C63" s="1" t="e">
        <f t="array" aca="1" ref="C63" ca="1">_xludf.XLOOKUP($A63,도서_정보[ID],도서_정보[작업 페이지],"")</f>
        <v>#NAME?</v>
      </c>
      <c r="D63" s="1" t="e">
        <f t="array" aca="1" ref="D63" ca="1">_xludf.XLOOKUP($A63,도서_정보[ID],도서_정보[난이도],"")</f>
        <v>#NAME?</v>
      </c>
      <c r="E63" s="1" t="e">
        <f t="array" aca="1" ref="E63" ca="1">_xludf.XLOOKUP($A63,도서_정보[ID],도서_정보[추출 방식],"")</f>
        <v>#NAME?</v>
      </c>
      <c r="F63" s="69"/>
      <c r="G63" s="69"/>
      <c r="H63" s="1"/>
      <c r="I63" s="1"/>
      <c r="J63" s="1"/>
      <c r="K63" s="69"/>
      <c r="L63" s="69"/>
      <c r="M63" s="1"/>
      <c r="N63" s="1"/>
      <c r="O63" s="1"/>
      <c r="P63" s="1"/>
      <c r="Q63" s="69"/>
      <c r="R63" s="1"/>
      <c r="S63" s="1"/>
      <c r="T63" s="70" t="b">
        <v>0</v>
      </c>
      <c r="U63" s="1"/>
      <c r="V63" s="1"/>
      <c r="W63" s="1"/>
      <c r="X63" s="71" t="e">
        <f t="array" aca="1" ref="X63" ca="1">_xludf.XLOOKUP(A63,'WER 로그'!A:A,'WER 로그'!I:I,"")</f>
        <v>#NAME?</v>
      </c>
      <c r="Y63" s="70" t="e">
        <f t="array" aca="1" ref="Y63" ca="1">IF(AND(_xludf.XLOOKUP(A63,'5. 납품 전 체크리스트'!A:A,'5. 납품 전 체크리스트'!D:M,"",0)),TRUE,FALSE)</f>
        <v>#NAME?</v>
      </c>
      <c r="Z63" s="1"/>
    </row>
    <row r="64" spans="1:26" ht="22.5" customHeight="1">
      <c r="A64" s="1" t="str">
        <f>'2. 도서 정보'!A65</f>
        <v>SS0063</v>
      </c>
      <c r="B64" s="1" t="e">
        <f t="array" aca="1" ref="B64" ca="1">_xludf.XLOOKUP($A64,도서_정보[ID],도서_정보[도서명],"")</f>
        <v>#NAME?</v>
      </c>
      <c r="C64" s="1" t="e">
        <f t="array" aca="1" ref="C64" ca="1">_xludf.XLOOKUP($A64,도서_정보[ID],도서_정보[작업 페이지],"")</f>
        <v>#NAME?</v>
      </c>
      <c r="D64" s="1" t="e">
        <f t="array" aca="1" ref="D64" ca="1">_xludf.XLOOKUP($A64,도서_정보[ID],도서_정보[난이도],"")</f>
        <v>#NAME?</v>
      </c>
      <c r="E64" s="1" t="e">
        <f t="array" aca="1" ref="E64" ca="1">_xludf.XLOOKUP($A64,도서_정보[ID],도서_정보[추출 방식],"")</f>
        <v>#NAME?</v>
      </c>
      <c r="F64" s="69"/>
      <c r="G64" s="69"/>
      <c r="H64" s="1"/>
      <c r="I64" s="1"/>
      <c r="J64" s="1"/>
      <c r="K64" s="69"/>
      <c r="L64" s="69"/>
      <c r="M64" s="1"/>
      <c r="N64" s="1"/>
      <c r="O64" s="1"/>
      <c r="P64" s="1"/>
      <c r="Q64" s="69"/>
      <c r="R64" s="1"/>
      <c r="S64" s="1"/>
      <c r="T64" s="70" t="b">
        <v>0</v>
      </c>
      <c r="U64" s="1"/>
      <c r="V64" s="1"/>
      <c r="W64" s="1"/>
      <c r="X64" s="71" t="e">
        <f t="array" aca="1" ref="X64" ca="1">_xludf.XLOOKUP(A64,'WER 로그'!A:A,'WER 로그'!I:I,"")</f>
        <v>#NAME?</v>
      </c>
      <c r="Y64" s="70" t="e">
        <f t="array" aca="1" ref="Y64" ca="1">IF(AND(_xludf.XLOOKUP(A64,'5. 납품 전 체크리스트'!A:A,'5. 납품 전 체크리스트'!D:M,"",0)),TRUE,FALSE)</f>
        <v>#NAME?</v>
      </c>
      <c r="Z64" s="1"/>
    </row>
    <row r="65" spans="1:26" ht="22.5" customHeight="1">
      <c r="A65" s="1" t="str">
        <f>'2. 도서 정보'!A66</f>
        <v>SS0064</v>
      </c>
      <c r="B65" s="1" t="e">
        <f t="array" aca="1" ref="B65" ca="1">_xludf.XLOOKUP($A65,도서_정보[ID],도서_정보[도서명],"")</f>
        <v>#NAME?</v>
      </c>
      <c r="C65" s="1" t="e">
        <f t="array" aca="1" ref="C65" ca="1">_xludf.XLOOKUP($A65,도서_정보[ID],도서_정보[작업 페이지],"")</f>
        <v>#NAME?</v>
      </c>
      <c r="D65" s="1" t="e">
        <f t="array" aca="1" ref="D65" ca="1">_xludf.XLOOKUP($A65,도서_정보[ID],도서_정보[난이도],"")</f>
        <v>#NAME?</v>
      </c>
      <c r="E65" s="1" t="e">
        <f t="array" aca="1" ref="E65" ca="1">_xludf.XLOOKUP($A65,도서_정보[ID],도서_정보[추출 방식],"")</f>
        <v>#NAME?</v>
      </c>
      <c r="F65" s="69"/>
      <c r="G65" s="69"/>
      <c r="H65" s="1"/>
      <c r="I65" s="1"/>
      <c r="J65" s="1"/>
      <c r="K65" s="69"/>
      <c r="L65" s="69"/>
      <c r="M65" s="1"/>
      <c r="N65" s="1"/>
      <c r="O65" s="1"/>
      <c r="P65" s="1"/>
      <c r="Q65" s="69"/>
      <c r="R65" s="1"/>
      <c r="S65" s="1"/>
      <c r="T65" s="70" t="b">
        <v>0</v>
      </c>
      <c r="U65" s="1"/>
      <c r="V65" s="1"/>
      <c r="W65" s="1"/>
      <c r="X65" s="71" t="e">
        <f t="array" aca="1" ref="X65" ca="1">_xludf.XLOOKUP(A65,'WER 로그'!A:A,'WER 로그'!I:I,"")</f>
        <v>#NAME?</v>
      </c>
      <c r="Y65" s="70" t="e">
        <f t="array" aca="1" ref="Y65" ca="1">IF(AND(_xludf.XLOOKUP(A65,'5. 납품 전 체크리스트'!A:A,'5. 납품 전 체크리스트'!D:M,"",0)),TRUE,FALSE)</f>
        <v>#NAME?</v>
      </c>
      <c r="Z65" s="1"/>
    </row>
    <row r="66" spans="1:26" ht="22.5" customHeight="1">
      <c r="A66" s="1" t="str">
        <f>'2. 도서 정보'!A67</f>
        <v>SS0065</v>
      </c>
      <c r="B66" s="1" t="e">
        <f t="array" aca="1" ref="B66" ca="1">_xludf.XLOOKUP($A66,도서_정보[ID],도서_정보[도서명],"")</f>
        <v>#NAME?</v>
      </c>
      <c r="C66" s="1" t="e">
        <f t="array" aca="1" ref="C66" ca="1">_xludf.XLOOKUP($A66,도서_정보[ID],도서_정보[작업 페이지],"")</f>
        <v>#NAME?</v>
      </c>
      <c r="D66" s="1" t="e">
        <f t="array" aca="1" ref="D66" ca="1">_xludf.XLOOKUP($A66,도서_정보[ID],도서_정보[난이도],"")</f>
        <v>#NAME?</v>
      </c>
      <c r="E66" s="1" t="e">
        <f t="array" aca="1" ref="E66" ca="1">_xludf.XLOOKUP($A66,도서_정보[ID],도서_정보[추출 방식],"")</f>
        <v>#NAME?</v>
      </c>
      <c r="F66" s="69"/>
      <c r="G66" s="69"/>
      <c r="H66" s="1"/>
      <c r="I66" s="1"/>
      <c r="J66" s="1"/>
      <c r="K66" s="69"/>
      <c r="L66" s="69"/>
      <c r="M66" s="1"/>
      <c r="N66" s="1"/>
      <c r="O66" s="1"/>
      <c r="P66" s="1"/>
      <c r="Q66" s="69"/>
      <c r="R66" s="1"/>
      <c r="S66" s="1"/>
      <c r="T66" s="70" t="b">
        <v>0</v>
      </c>
      <c r="U66" s="1"/>
      <c r="V66" s="1"/>
      <c r="W66" s="1"/>
      <c r="X66" s="71" t="e">
        <f t="array" aca="1" ref="X66" ca="1">_xludf.XLOOKUP(A66,'WER 로그'!A:A,'WER 로그'!I:I,"")</f>
        <v>#NAME?</v>
      </c>
      <c r="Y66" s="70" t="e">
        <f t="array" aca="1" ref="Y66" ca="1">IF(AND(_xludf.XLOOKUP(A66,'5. 납품 전 체크리스트'!A:A,'5. 납품 전 체크리스트'!D:M,"",0)),TRUE,FALSE)</f>
        <v>#NAME?</v>
      </c>
      <c r="Z66" s="1"/>
    </row>
    <row r="67" spans="1:26" ht="22.5" customHeight="1">
      <c r="A67" s="1" t="str">
        <f>'2. 도서 정보'!A68</f>
        <v>SS0066</v>
      </c>
      <c r="B67" s="1" t="e">
        <f t="array" aca="1" ref="B67" ca="1">_xludf.XLOOKUP($A67,도서_정보[ID],도서_정보[도서명],"")</f>
        <v>#NAME?</v>
      </c>
      <c r="C67" s="1" t="e">
        <f t="array" aca="1" ref="C67" ca="1">_xludf.XLOOKUP($A67,도서_정보[ID],도서_정보[작업 페이지],"")</f>
        <v>#NAME?</v>
      </c>
      <c r="D67" s="1" t="e">
        <f t="array" aca="1" ref="D67" ca="1">_xludf.XLOOKUP($A67,도서_정보[ID],도서_정보[난이도],"")</f>
        <v>#NAME?</v>
      </c>
      <c r="E67" s="1" t="e">
        <f t="array" aca="1" ref="E67" ca="1">_xludf.XLOOKUP($A67,도서_정보[ID],도서_정보[추출 방식],"")</f>
        <v>#NAME?</v>
      </c>
      <c r="F67" s="69"/>
      <c r="G67" s="69"/>
      <c r="H67" s="1"/>
      <c r="I67" s="1"/>
      <c r="J67" s="1"/>
      <c r="K67" s="69"/>
      <c r="L67" s="69"/>
      <c r="M67" s="1"/>
      <c r="N67" s="1"/>
      <c r="O67" s="1"/>
      <c r="P67" s="1"/>
      <c r="Q67" s="69"/>
      <c r="R67" s="1"/>
      <c r="S67" s="1"/>
      <c r="T67" s="70" t="b">
        <v>0</v>
      </c>
      <c r="U67" s="1"/>
      <c r="V67" s="1"/>
      <c r="W67" s="1"/>
      <c r="X67" s="71" t="e">
        <f t="array" aca="1" ref="X67" ca="1">_xludf.XLOOKUP(A67,'WER 로그'!A:A,'WER 로그'!I:I,"")</f>
        <v>#NAME?</v>
      </c>
      <c r="Y67" s="70" t="e">
        <f t="array" aca="1" ref="Y67" ca="1">IF(AND(_xludf.XLOOKUP(A67,'5. 납품 전 체크리스트'!A:A,'5. 납품 전 체크리스트'!D:M,"",0)),TRUE,FALSE)</f>
        <v>#NAME?</v>
      </c>
      <c r="Z67" s="1"/>
    </row>
    <row r="68" spans="1:26" ht="22.5" customHeight="1">
      <c r="A68" s="1" t="str">
        <f>'2. 도서 정보'!A69</f>
        <v>SS0067</v>
      </c>
      <c r="B68" s="1" t="e">
        <f t="array" aca="1" ref="B68" ca="1">_xludf.XLOOKUP($A68,도서_정보[ID],도서_정보[도서명],"")</f>
        <v>#NAME?</v>
      </c>
      <c r="C68" s="1" t="e">
        <f t="array" aca="1" ref="C68" ca="1">_xludf.XLOOKUP($A68,도서_정보[ID],도서_정보[작업 페이지],"")</f>
        <v>#NAME?</v>
      </c>
      <c r="D68" s="1" t="e">
        <f t="array" aca="1" ref="D68" ca="1">_xludf.XLOOKUP($A68,도서_정보[ID],도서_정보[난이도],"")</f>
        <v>#NAME?</v>
      </c>
      <c r="E68" s="1" t="e">
        <f t="array" aca="1" ref="E68" ca="1">_xludf.XLOOKUP($A68,도서_정보[ID],도서_정보[추출 방식],"")</f>
        <v>#NAME?</v>
      </c>
      <c r="F68" s="69"/>
      <c r="G68" s="69"/>
      <c r="H68" s="1"/>
      <c r="I68" s="1"/>
      <c r="J68" s="1"/>
      <c r="K68" s="69"/>
      <c r="L68" s="69"/>
      <c r="M68" s="1"/>
      <c r="N68" s="1"/>
      <c r="O68" s="1"/>
      <c r="P68" s="1"/>
      <c r="Q68" s="69"/>
      <c r="R68" s="1"/>
      <c r="S68" s="1"/>
      <c r="T68" s="70" t="b">
        <v>0</v>
      </c>
      <c r="U68" s="1"/>
      <c r="V68" s="1"/>
      <c r="W68" s="1"/>
      <c r="X68" s="71" t="e">
        <f t="array" aca="1" ref="X68" ca="1">_xludf.XLOOKUP(A68,'WER 로그'!A:A,'WER 로그'!I:I,"")</f>
        <v>#NAME?</v>
      </c>
      <c r="Y68" s="70" t="e">
        <f t="array" aca="1" ref="Y68" ca="1">IF(AND(_xludf.XLOOKUP(A68,'5. 납품 전 체크리스트'!A:A,'5. 납품 전 체크리스트'!D:M,"",0)),TRUE,FALSE)</f>
        <v>#NAME?</v>
      </c>
      <c r="Z68" s="1"/>
    </row>
    <row r="69" spans="1:26" ht="22.5" customHeight="1">
      <c r="A69" s="1" t="str">
        <f>'2. 도서 정보'!A70</f>
        <v>SS0068</v>
      </c>
      <c r="B69" s="1" t="e">
        <f t="array" aca="1" ref="B69" ca="1">_xludf.XLOOKUP($A69,도서_정보[ID],도서_정보[도서명],"")</f>
        <v>#NAME?</v>
      </c>
      <c r="C69" s="1" t="e">
        <f t="array" aca="1" ref="C69" ca="1">_xludf.XLOOKUP($A69,도서_정보[ID],도서_정보[작업 페이지],"")</f>
        <v>#NAME?</v>
      </c>
      <c r="D69" s="1" t="e">
        <f t="array" aca="1" ref="D69" ca="1">_xludf.XLOOKUP($A69,도서_정보[ID],도서_정보[난이도],"")</f>
        <v>#NAME?</v>
      </c>
      <c r="E69" s="1" t="e">
        <f t="array" aca="1" ref="E69" ca="1">_xludf.XLOOKUP($A69,도서_정보[ID],도서_정보[추출 방식],"")</f>
        <v>#NAME?</v>
      </c>
      <c r="F69" s="69"/>
      <c r="G69" s="69"/>
      <c r="H69" s="1"/>
      <c r="I69" s="1"/>
      <c r="J69" s="1"/>
      <c r="K69" s="69"/>
      <c r="L69" s="69"/>
      <c r="M69" s="1"/>
      <c r="N69" s="1"/>
      <c r="O69" s="1"/>
      <c r="P69" s="1"/>
      <c r="Q69" s="69"/>
      <c r="R69" s="1"/>
      <c r="S69" s="1"/>
      <c r="T69" s="70" t="b">
        <v>0</v>
      </c>
      <c r="U69" s="1"/>
      <c r="V69" s="1"/>
      <c r="W69" s="1"/>
      <c r="X69" s="71" t="e">
        <f t="array" aca="1" ref="X69" ca="1">_xludf.XLOOKUP(A69,'WER 로그'!A:A,'WER 로그'!I:I,"")</f>
        <v>#NAME?</v>
      </c>
      <c r="Y69" s="70" t="e">
        <f t="array" aca="1" ref="Y69" ca="1">IF(AND(_xludf.XLOOKUP(A69,'5. 납품 전 체크리스트'!A:A,'5. 납품 전 체크리스트'!D:M,"",0)),TRUE,FALSE)</f>
        <v>#NAME?</v>
      </c>
      <c r="Z69" s="1"/>
    </row>
    <row r="70" spans="1:26" ht="22.5" customHeight="1">
      <c r="A70" s="1" t="str">
        <f>'2. 도서 정보'!A71</f>
        <v>SS0069</v>
      </c>
      <c r="B70" s="1" t="e">
        <f t="array" aca="1" ref="B70" ca="1">_xludf.XLOOKUP($A70,도서_정보[ID],도서_정보[도서명],"")</f>
        <v>#NAME?</v>
      </c>
      <c r="C70" s="1" t="e">
        <f t="array" aca="1" ref="C70" ca="1">_xludf.XLOOKUP($A70,도서_정보[ID],도서_정보[작업 페이지],"")</f>
        <v>#NAME?</v>
      </c>
      <c r="D70" s="1" t="e">
        <f t="array" aca="1" ref="D70" ca="1">_xludf.XLOOKUP($A70,도서_정보[ID],도서_정보[난이도],"")</f>
        <v>#NAME?</v>
      </c>
      <c r="E70" s="1" t="e">
        <f t="array" aca="1" ref="E70" ca="1">_xludf.XLOOKUP($A70,도서_정보[ID],도서_정보[추출 방식],"")</f>
        <v>#NAME?</v>
      </c>
      <c r="F70" s="69"/>
      <c r="G70" s="69"/>
      <c r="H70" s="1"/>
      <c r="I70" s="1"/>
      <c r="J70" s="1"/>
      <c r="K70" s="69"/>
      <c r="L70" s="69"/>
      <c r="M70" s="1"/>
      <c r="N70" s="1"/>
      <c r="O70" s="1"/>
      <c r="P70" s="1"/>
      <c r="Q70" s="69"/>
      <c r="R70" s="1"/>
      <c r="S70" s="1"/>
      <c r="T70" s="70" t="b">
        <v>0</v>
      </c>
      <c r="U70" s="1"/>
      <c r="V70" s="1"/>
      <c r="W70" s="1"/>
      <c r="X70" s="71" t="e">
        <f t="array" aca="1" ref="X70" ca="1">_xludf.XLOOKUP(A70,'WER 로그'!A:A,'WER 로그'!I:I,"")</f>
        <v>#NAME?</v>
      </c>
      <c r="Y70" s="70" t="e">
        <f t="array" aca="1" ref="Y70" ca="1">IF(AND(_xludf.XLOOKUP(A70,'5. 납품 전 체크리스트'!A:A,'5. 납품 전 체크리스트'!D:M,"",0)),TRUE,FALSE)</f>
        <v>#NAME?</v>
      </c>
      <c r="Z70" s="1"/>
    </row>
    <row r="71" spans="1:26" ht="22.5" customHeight="1">
      <c r="A71" s="1" t="str">
        <f>'2. 도서 정보'!A72</f>
        <v>SS0070</v>
      </c>
      <c r="B71" s="1" t="e">
        <f t="array" aca="1" ref="B71" ca="1">_xludf.XLOOKUP($A71,도서_정보[ID],도서_정보[도서명],"")</f>
        <v>#NAME?</v>
      </c>
      <c r="C71" s="1" t="e">
        <f t="array" aca="1" ref="C71" ca="1">_xludf.XLOOKUP($A71,도서_정보[ID],도서_정보[작업 페이지],"")</f>
        <v>#NAME?</v>
      </c>
      <c r="D71" s="1" t="e">
        <f t="array" aca="1" ref="D71" ca="1">_xludf.XLOOKUP($A71,도서_정보[ID],도서_정보[난이도],"")</f>
        <v>#NAME?</v>
      </c>
      <c r="E71" s="1" t="e">
        <f t="array" aca="1" ref="E71" ca="1">_xludf.XLOOKUP($A71,도서_정보[ID],도서_정보[추출 방식],"")</f>
        <v>#NAME?</v>
      </c>
      <c r="F71" s="69"/>
      <c r="G71" s="69"/>
      <c r="H71" s="1"/>
      <c r="I71" s="1"/>
      <c r="J71" s="1"/>
      <c r="K71" s="69"/>
      <c r="L71" s="69"/>
      <c r="M71" s="1"/>
      <c r="N71" s="1"/>
      <c r="O71" s="1"/>
      <c r="P71" s="1"/>
      <c r="Q71" s="69"/>
      <c r="R71" s="1"/>
      <c r="S71" s="1"/>
      <c r="T71" s="70" t="b">
        <v>0</v>
      </c>
      <c r="U71" s="1"/>
      <c r="V71" s="1"/>
      <c r="W71" s="1"/>
      <c r="X71" s="71" t="e">
        <f t="array" aca="1" ref="X71" ca="1">_xludf.XLOOKUP(A71,'WER 로그'!A:A,'WER 로그'!I:I,"")</f>
        <v>#NAME?</v>
      </c>
      <c r="Y71" s="70" t="e">
        <f t="array" aca="1" ref="Y71" ca="1">IF(AND(_xludf.XLOOKUP(A71,'5. 납품 전 체크리스트'!A:A,'5. 납품 전 체크리스트'!D:M,"",0)),TRUE,FALSE)</f>
        <v>#NAME?</v>
      </c>
      <c r="Z71" s="1"/>
    </row>
    <row r="72" spans="1:26" ht="22.5" customHeight="1">
      <c r="A72" s="1" t="str">
        <f>'2. 도서 정보'!A73</f>
        <v>SS0071</v>
      </c>
      <c r="B72" s="1" t="e">
        <f t="array" aca="1" ref="B72" ca="1">_xludf.XLOOKUP($A72,도서_정보[ID],도서_정보[도서명],"")</f>
        <v>#NAME?</v>
      </c>
      <c r="C72" s="1" t="e">
        <f t="array" aca="1" ref="C72" ca="1">_xludf.XLOOKUP($A72,도서_정보[ID],도서_정보[작업 페이지],"")</f>
        <v>#NAME?</v>
      </c>
      <c r="D72" s="1" t="e">
        <f t="array" aca="1" ref="D72" ca="1">_xludf.XLOOKUP($A72,도서_정보[ID],도서_정보[난이도],"")</f>
        <v>#NAME?</v>
      </c>
      <c r="E72" s="1" t="e">
        <f t="array" aca="1" ref="E72" ca="1">_xludf.XLOOKUP($A72,도서_정보[ID],도서_정보[추출 방식],"")</f>
        <v>#NAME?</v>
      </c>
      <c r="F72" s="69"/>
      <c r="G72" s="69"/>
      <c r="H72" s="1"/>
      <c r="I72" s="1"/>
      <c r="J72" s="1"/>
      <c r="K72" s="69"/>
      <c r="L72" s="69"/>
      <c r="M72" s="1"/>
      <c r="N72" s="1"/>
      <c r="O72" s="1"/>
      <c r="P72" s="1"/>
      <c r="Q72" s="69"/>
      <c r="R72" s="1"/>
      <c r="S72" s="1"/>
      <c r="T72" s="70" t="b">
        <v>0</v>
      </c>
      <c r="U72" s="1"/>
      <c r="V72" s="1"/>
      <c r="W72" s="1"/>
      <c r="X72" s="71" t="e">
        <f t="array" aca="1" ref="X72" ca="1">_xludf.XLOOKUP(A72,'WER 로그'!A:A,'WER 로그'!I:I,"")</f>
        <v>#NAME?</v>
      </c>
      <c r="Y72" s="70" t="e">
        <f t="array" aca="1" ref="Y72" ca="1">IF(AND(_xludf.XLOOKUP(A72,'5. 납품 전 체크리스트'!A:A,'5. 납품 전 체크리스트'!D:M,"",0)),TRUE,FALSE)</f>
        <v>#NAME?</v>
      </c>
      <c r="Z72" s="1"/>
    </row>
    <row r="73" spans="1:26" ht="22.5" customHeight="1">
      <c r="A73" s="1" t="str">
        <f>'2. 도서 정보'!A74</f>
        <v>SS0072</v>
      </c>
      <c r="B73" s="1" t="e">
        <f t="array" aca="1" ref="B73" ca="1">_xludf.XLOOKUP($A73,도서_정보[ID],도서_정보[도서명],"")</f>
        <v>#NAME?</v>
      </c>
      <c r="C73" s="1" t="e">
        <f t="array" aca="1" ref="C73" ca="1">_xludf.XLOOKUP($A73,도서_정보[ID],도서_정보[작업 페이지],"")</f>
        <v>#NAME?</v>
      </c>
      <c r="D73" s="1" t="e">
        <f t="array" aca="1" ref="D73" ca="1">_xludf.XLOOKUP($A73,도서_정보[ID],도서_정보[난이도],"")</f>
        <v>#NAME?</v>
      </c>
      <c r="E73" s="1" t="e">
        <f t="array" aca="1" ref="E73" ca="1">_xludf.XLOOKUP($A73,도서_정보[ID],도서_정보[추출 방식],"")</f>
        <v>#NAME?</v>
      </c>
      <c r="F73" s="69"/>
      <c r="G73" s="69"/>
      <c r="H73" s="1"/>
      <c r="I73" s="1"/>
      <c r="J73" s="1"/>
      <c r="K73" s="69"/>
      <c r="L73" s="69"/>
      <c r="M73" s="1"/>
      <c r="N73" s="1"/>
      <c r="O73" s="1"/>
      <c r="P73" s="1"/>
      <c r="Q73" s="69"/>
      <c r="R73" s="1"/>
      <c r="S73" s="1"/>
      <c r="T73" s="70" t="b">
        <v>0</v>
      </c>
      <c r="U73" s="1"/>
      <c r="V73" s="1"/>
      <c r="W73" s="1"/>
      <c r="X73" s="71" t="e">
        <f t="array" aca="1" ref="X73" ca="1">_xludf.XLOOKUP(A73,'WER 로그'!A:A,'WER 로그'!I:I,"")</f>
        <v>#NAME?</v>
      </c>
      <c r="Y73" s="70" t="e">
        <f t="array" aca="1" ref="Y73" ca="1">IF(AND(_xludf.XLOOKUP(A73,'5. 납품 전 체크리스트'!A:A,'5. 납품 전 체크리스트'!D:M,"",0)),TRUE,FALSE)</f>
        <v>#NAME?</v>
      </c>
      <c r="Z73" s="1"/>
    </row>
    <row r="74" spans="1:26" ht="22.5" customHeight="1">
      <c r="A74" s="1" t="str">
        <f>'2. 도서 정보'!A75</f>
        <v>SS0073</v>
      </c>
      <c r="B74" s="1" t="e">
        <f t="array" aca="1" ref="B74" ca="1">_xludf.XLOOKUP($A74,도서_정보[ID],도서_정보[도서명],"")</f>
        <v>#NAME?</v>
      </c>
      <c r="C74" s="1" t="e">
        <f t="array" aca="1" ref="C74" ca="1">_xludf.XLOOKUP($A74,도서_정보[ID],도서_정보[작업 페이지],"")</f>
        <v>#NAME?</v>
      </c>
      <c r="D74" s="1" t="e">
        <f t="array" aca="1" ref="D74" ca="1">_xludf.XLOOKUP($A74,도서_정보[ID],도서_정보[난이도],"")</f>
        <v>#NAME?</v>
      </c>
      <c r="E74" s="1" t="e">
        <f t="array" aca="1" ref="E74" ca="1">_xludf.XLOOKUP($A74,도서_정보[ID],도서_정보[추출 방식],"")</f>
        <v>#NAME?</v>
      </c>
      <c r="F74" s="69"/>
      <c r="G74" s="69"/>
      <c r="H74" s="1"/>
      <c r="I74" s="1"/>
      <c r="J74" s="1"/>
      <c r="K74" s="69"/>
      <c r="L74" s="69"/>
      <c r="M74" s="1"/>
      <c r="N74" s="1"/>
      <c r="O74" s="1"/>
      <c r="P74" s="1"/>
      <c r="Q74" s="69"/>
      <c r="R74" s="1"/>
      <c r="S74" s="1"/>
      <c r="T74" s="70" t="b">
        <v>0</v>
      </c>
      <c r="U74" s="1"/>
      <c r="V74" s="1"/>
      <c r="W74" s="1"/>
      <c r="X74" s="71" t="e">
        <f t="array" aca="1" ref="X74" ca="1">_xludf.XLOOKUP(A74,'WER 로그'!A:A,'WER 로그'!I:I,"")</f>
        <v>#NAME?</v>
      </c>
      <c r="Y74" s="70" t="e">
        <f t="array" aca="1" ref="Y74" ca="1">IF(AND(_xludf.XLOOKUP(A74,'5. 납품 전 체크리스트'!A:A,'5. 납품 전 체크리스트'!D:M,"",0)),TRUE,FALSE)</f>
        <v>#NAME?</v>
      </c>
      <c r="Z74" s="1"/>
    </row>
    <row r="75" spans="1:26" ht="22.5" customHeight="1">
      <c r="A75" s="1" t="str">
        <f>'2. 도서 정보'!A76</f>
        <v>SS0074</v>
      </c>
      <c r="B75" s="1" t="e">
        <f t="array" aca="1" ref="B75" ca="1">_xludf.XLOOKUP($A75,도서_정보[ID],도서_정보[도서명],"")</f>
        <v>#NAME?</v>
      </c>
      <c r="C75" s="1" t="e">
        <f t="array" aca="1" ref="C75" ca="1">_xludf.XLOOKUP($A75,도서_정보[ID],도서_정보[작업 페이지],"")</f>
        <v>#NAME?</v>
      </c>
      <c r="D75" s="1" t="e">
        <f t="array" aca="1" ref="D75" ca="1">_xludf.XLOOKUP($A75,도서_정보[ID],도서_정보[난이도],"")</f>
        <v>#NAME?</v>
      </c>
      <c r="E75" s="1" t="e">
        <f t="array" aca="1" ref="E75" ca="1">_xludf.XLOOKUP($A75,도서_정보[ID],도서_정보[추출 방식],"")</f>
        <v>#NAME?</v>
      </c>
      <c r="F75" s="69"/>
      <c r="G75" s="69"/>
      <c r="H75" s="1"/>
      <c r="I75" s="1"/>
      <c r="J75" s="1"/>
      <c r="K75" s="69"/>
      <c r="L75" s="69"/>
      <c r="M75" s="1"/>
      <c r="N75" s="1"/>
      <c r="O75" s="1"/>
      <c r="P75" s="1"/>
      <c r="Q75" s="69"/>
      <c r="R75" s="1"/>
      <c r="S75" s="1"/>
      <c r="T75" s="70" t="b">
        <v>0</v>
      </c>
      <c r="U75" s="1"/>
      <c r="V75" s="1"/>
      <c r="W75" s="1"/>
      <c r="X75" s="71" t="e">
        <f t="array" aca="1" ref="X75" ca="1">_xludf.XLOOKUP(A75,'WER 로그'!A:A,'WER 로그'!I:I,"")</f>
        <v>#NAME?</v>
      </c>
      <c r="Y75" s="70" t="e">
        <f t="array" aca="1" ref="Y75" ca="1">IF(AND(_xludf.XLOOKUP(A75,'5. 납품 전 체크리스트'!A:A,'5. 납품 전 체크리스트'!D:M,"",0)),TRUE,FALSE)</f>
        <v>#NAME?</v>
      </c>
      <c r="Z75" s="1"/>
    </row>
    <row r="76" spans="1:26" ht="22.5" customHeight="1">
      <c r="A76" s="1" t="str">
        <f>'2. 도서 정보'!A77</f>
        <v>SS0075</v>
      </c>
      <c r="B76" s="1" t="e">
        <f t="array" aca="1" ref="B76" ca="1">_xludf.XLOOKUP($A76,도서_정보[ID],도서_정보[도서명],"")</f>
        <v>#NAME?</v>
      </c>
      <c r="C76" s="1" t="e">
        <f t="array" aca="1" ref="C76" ca="1">_xludf.XLOOKUP($A76,도서_정보[ID],도서_정보[작업 페이지],"")</f>
        <v>#NAME?</v>
      </c>
      <c r="D76" s="1" t="e">
        <f t="array" aca="1" ref="D76" ca="1">_xludf.XLOOKUP($A76,도서_정보[ID],도서_정보[난이도],"")</f>
        <v>#NAME?</v>
      </c>
      <c r="E76" s="1" t="e">
        <f t="array" aca="1" ref="E76" ca="1">_xludf.XLOOKUP($A76,도서_정보[ID],도서_정보[추출 방식],"")</f>
        <v>#NAME?</v>
      </c>
      <c r="F76" s="69"/>
      <c r="G76" s="69"/>
      <c r="H76" s="1"/>
      <c r="I76" s="1"/>
      <c r="J76" s="1"/>
      <c r="K76" s="69"/>
      <c r="L76" s="69"/>
      <c r="M76" s="1"/>
      <c r="N76" s="1"/>
      <c r="O76" s="1"/>
      <c r="P76" s="1"/>
      <c r="Q76" s="69"/>
      <c r="R76" s="1"/>
      <c r="S76" s="1"/>
      <c r="T76" s="70" t="b">
        <v>0</v>
      </c>
      <c r="U76" s="1"/>
      <c r="V76" s="1"/>
      <c r="W76" s="1"/>
      <c r="X76" s="71" t="e">
        <f t="array" aca="1" ref="X76" ca="1">_xludf.XLOOKUP(A76,'WER 로그'!A:A,'WER 로그'!I:I,"")</f>
        <v>#NAME?</v>
      </c>
      <c r="Y76" s="70" t="e">
        <f t="array" aca="1" ref="Y76" ca="1">IF(AND(_xludf.XLOOKUP(A76,'5. 납품 전 체크리스트'!A:A,'5. 납품 전 체크리스트'!D:M,"",0)),TRUE,FALSE)</f>
        <v>#NAME?</v>
      </c>
      <c r="Z76" s="1"/>
    </row>
    <row r="77" spans="1:26" ht="22.5" customHeight="1">
      <c r="A77" s="1" t="str">
        <f>'2. 도서 정보'!A78</f>
        <v>SS0076</v>
      </c>
      <c r="B77" s="1" t="e">
        <f t="array" aca="1" ref="B77" ca="1">_xludf.XLOOKUP($A77,도서_정보[ID],도서_정보[도서명],"")</f>
        <v>#NAME?</v>
      </c>
      <c r="C77" s="1" t="e">
        <f t="array" aca="1" ref="C77" ca="1">_xludf.XLOOKUP($A77,도서_정보[ID],도서_정보[작업 페이지],"")</f>
        <v>#NAME?</v>
      </c>
      <c r="D77" s="1" t="e">
        <f t="array" aca="1" ref="D77" ca="1">_xludf.XLOOKUP($A77,도서_정보[ID],도서_정보[난이도],"")</f>
        <v>#NAME?</v>
      </c>
      <c r="E77" s="1" t="e">
        <f t="array" aca="1" ref="E77" ca="1">_xludf.XLOOKUP($A77,도서_정보[ID],도서_정보[추출 방식],"")</f>
        <v>#NAME?</v>
      </c>
      <c r="F77" s="69"/>
      <c r="G77" s="69"/>
      <c r="H77" s="1"/>
      <c r="I77" s="1"/>
      <c r="J77" s="1"/>
      <c r="K77" s="69"/>
      <c r="L77" s="69"/>
      <c r="M77" s="1"/>
      <c r="N77" s="1"/>
      <c r="O77" s="1"/>
      <c r="P77" s="1"/>
      <c r="Q77" s="69"/>
      <c r="R77" s="1"/>
      <c r="S77" s="1"/>
      <c r="T77" s="70" t="b">
        <v>0</v>
      </c>
      <c r="U77" s="1"/>
      <c r="V77" s="1"/>
      <c r="W77" s="1"/>
      <c r="X77" s="71" t="e">
        <f t="array" aca="1" ref="X77" ca="1">_xludf.XLOOKUP(A77,'WER 로그'!A:A,'WER 로그'!I:I,"")</f>
        <v>#NAME?</v>
      </c>
      <c r="Y77" s="70" t="e">
        <f t="array" aca="1" ref="Y77" ca="1">IF(AND(_xludf.XLOOKUP(A77,'5. 납품 전 체크리스트'!A:A,'5. 납품 전 체크리스트'!D:M,"",0)),TRUE,FALSE)</f>
        <v>#NAME?</v>
      </c>
      <c r="Z77" s="1"/>
    </row>
    <row r="78" spans="1:26" ht="22.5" customHeight="1">
      <c r="A78" s="1" t="str">
        <f>'2. 도서 정보'!A79</f>
        <v>SS0077</v>
      </c>
      <c r="B78" s="1" t="e">
        <f t="array" aca="1" ref="B78" ca="1">_xludf.XLOOKUP($A78,도서_정보[ID],도서_정보[도서명],"")</f>
        <v>#NAME?</v>
      </c>
      <c r="C78" s="1" t="e">
        <f t="array" aca="1" ref="C78" ca="1">_xludf.XLOOKUP($A78,도서_정보[ID],도서_정보[작업 페이지],"")</f>
        <v>#NAME?</v>
      </c>
      <c r="D78" s="1" t="e">
        <f t="array" aca="1" ref="D78" ca="1">_xludf.XLOOKUP($A78,도서_정보[ID],도서_정보[난이도],"")</f>
        <v>#NAME?</v>
      </c>
      <c r="E78" s="1" t="e">
        <f t="array" aca="1" ref="E78" ca="1">_xludf.XLOOKUP($A78,도서_정보[ID],도서_정보[추출 방식],"")</f>
        <v>#NAME?</v>
      </c>
      <c r="F78" s="69"/>
      <c r="G78" s="69"/>
      <c r="H78" s="1"/>
      <c r="I78" s="1"/>
      <c r="J78" s="1"/>
      <c r="K78" s="69"/>
      <c r="L78" s="69"/>
      <c r="M78" s="1"/>
      <c r="N78" s="1"/>
      <c r="O78" s="1"/>
      <c r="P78" s="1"/>
      <c r="Q78" s="69"/>
      <c r="R78" s="1"/>
      <c r="S78" s="1"/>
      <c r="T78" s="70" t="b">
        <v>0</v>
      </c>
      <c r="U78" s="1"/>
      <c r="V78" s="1"/>
      <c r="W78" s="1"/>
      <c r="X78" s="71" t="e">
        <f t="array" aca="1" ref="X78" ca="1">_xludf.XLOOKUP(A78,'WER 로그'!A:A,'WER 로그'!I:I,"")</f>
        <v>#NAME?</v>
      </c>
      <c r="Y78" s="70" t="e">
        <f t="array" aca="1" ref="Y78" ca="1">IF(AND(_xludf.XLOOKUP(A78,'5. 납품 전 체크리스트'!A:A,'5. 납품 전 체크리스트'!D:M,"",0)),TRUE,FALSE)</f>
        <v>#NAME?</v>
      </c>
      <c r="Z78" s="1"/>
    </row>
    <row r="79" spans="1:26" ht="22.5" customHeight="1">
      <c r="A79" s="1" t="str">
        <f>'2. 도서 정보'!A80</f>
        <v>SS0078</v>
      </c>
      <c r="B79" s="1" t="e">
        <f t="array" aca="1" ref="B79" ca="1">_xludf.XLOOKUP($A79,도서_정보[ID],도서_정보[도서명],"")</f>
        <v>#NAME?</v>
      </c>
      <c r="C79" s="1" t="e">
        <f t="array" aca="1" ref="C79" ca="1">_xludf.XLOOKUP($A79,도서_정보[ID],도서_정보[작업 페이지],"")</f>
        <v>#NAME?</v>
      </c>
      <c r="D79" s="1" t="e">
        <f t="array" aca="1" ref="D79" ca="1">_xludf.XLOOKUP($A79,도서_정보[ID],도서_정보[난이도],"")</f>
        <v>#NAME?</v>
      </c>
      <c r="E79" s="1" t="e">
        <f t="array" aca="1" ref="E79" ca="1">_xludf.XLOOKUP($A79,도서_정보[ID],도서_정보[추출 방식],"")</f>
        <v>#NAME?</v>
      </c>
      <c r="F79" s="69"/>
      <c r="G79" s="69"/>
      <c r="H79" s="1"/>
      <c r="I79" s="1"/>
      <c r="J79" s="1"/>
      <c r="K79" s="69"/>
      <c r="L79" s="69"/>
      <c r="M79" s="1"/>
      <c r="N79" s="1"/>
      <c r="O79" s="1"/>
      <c r="P79" s="1"/>
      <c r="Q79" s="69"/>
      <c r="R79" s="1"/>
      <c r="S79" s="1"/>
      <c r="T79" s="70" t="b">
        <v>0</v>
      </c>
      <c r="U79" s="1"/>
      <c r="V79" s="1"/>
      <c r="W79" s="1"/>
      <c r="X79" s="71" t="e">
        <f t="array" aca="1" ref="X79" ca="1">_xludf.XLOOKUP(A79,'WER 로그'!A:A,'WER 로그'!I:I,"")</f>
        <v>#NAME?</v>
      </c>
      <c r="Y79" s="70" t="e">
        <f t="array" aca="1" ref="Y79" ca="1">IF(AND(_xludf.XLOOKUP(A79,'5. 납품 전 체크리스트'!A:A,'5. 납품 전 체크리스트'!D:M,"",0)),TRUE,FALSE)</f>
        <v>#NAME?</v>
      </c>
      <c r="Z79" s="1"/>
    </row>
    <row r="80" spans="1:26" ht="22.5" customHeight="1">
      <c r="A80" s="1" t="str">
        <f>'2. 도서 정보'!A81</f>
        <v>SS0079</v>
      </c>
      <c r="B80" s="1" t="e">
        <f t="array" aca="1" ref="B80" ca="1">_xludf.XLOOKUP($A80,도서_정보[ID],도서_정보[도서명],"")</f>
        <v>#NAME?</v>
      </c>
      <c r="C80" s="1" t="e">
        <f t="array" aca="1" ref="C80" ca="1">_xludf.XLOOKUP($A80,도서_정보[ID],도서_정보[작업 페이지],"")</f>
        <v>#NAME?</v>
      </c>
      <c r="D80" s="1" t="e">
        <f t="array" aca="1" ref="D80" ca="1">_xludf.XLOOKUP($A80,도서_정보[ID],도서_정보[난이도],"")</f>
        <v>#NAME?</v>
      </c>
      <c r="E80" s="1" t="e">
        <f t="array" aca="1" ref="E80" ca="1">_xludf.XLOOKUP($A80,도서_정보[ID],도서_정보[추출 방식],"")</f>
        <v>#NAME?</v>
      </c>
      <c r="F80" s="69"/>
      <c r="G80" s="69"/>
      <c r="H80" s="1"/>
      <c r="I80" s="1"/>
      <c r="J80" s="1"/>
      <c r="K80" s="69"/>
      <c r="L80" s="69"/>
      <c r="M80" s="1"/>
      <c r="N80" s="1"/>
      <c r="O80" s="1"/>
      <c r="P80" s="1"/>
      <c r="Q80" s="69"/>
      <c r="R80" s="1"/>
      <c r="S80" s="1"/>
      <c r="T80" s="70" t="b">
        <v>0</v>
      </c>
      <c r="U80" s="1"/>
      <c r="V80" s="1"/>
      <c r="W80" s="1"/>
      <c r="X80" s="71" t="e">
        <f t="array" aca="1" ref="X80" ca="1">_xludf.XLOOKUP(A80,'WER 로그'!A:A,'WER 로그'!I:I,"")</f>
        <v>#NAME?</v>
      </c>
      <c r="Y80" s="70" t="e">
        <f t="array" aca="1" ref="Y80" ca="1">IF(AND(_xludf.XLOOKUP(A80,'5. 납품 전 체크리스트'!A:A,'5. 납품 전 체크리스트'!D:M,"",0)),TRUE,FALSE)</f>
        <v>#NAME?</v>
      </c>
      <c r="Z80" s="1"/>
    </row>
    <row r="81" spans="1:26" ht="22.5" customHeight="1">
      <c r="A81" s="1" t="str">
        <f>'2. 도서 정보'!A82</f>
        <v>SS0080</v>
      </c>
      <c r="B81" s="1" t="e">
        <f t="array" aca="1" ref="B81" ca="1">_xludf.XLOOKUP($A81,도서_정보[ID],도서_정보[도서명],"")</f>
        <v>#NAME?</v>
      </c>
      <c r="C81" s="1" t="e">
        <f t="array" aca="1" ref="C81" ca="1">_xludf.XLOOKUP($A81,도서_정보[ID],도서_정보[작업 페이지],"")</f>
        <v>#NAME?</v>
      </c>
      <c r="D81" s="1" t="e">
        <f t="array" aca="1" ref="D81" ca="1">_xludf.XLOOKUP($A81,도서_정보[ID],도서_정보[난이도],"")</f>
        <v>#NAME?</v>
      </c>
      <c r="E81" s="1" t="e">
        <f t="array" aca="1" ref="E81" ca="1">_xludf.XLOOKUP($A81,도서_정보[ID],도서_정보[추출 방식],"")</f>
        <v>#NAME?</v>
      </c>
      <c r="F81" s="69"/>
      <c r="G81" s="69"/>
      <c r="H81" s="1"/>
      <c r="I81" s="1"/>
      <c r="J81" s="1"/>
      <c r="K81" s="69"/>
      <c r="L81" s="69"/>
      <c r="M81" s="1"/>
      <c r="N81" s="1"/>
      <c r="O81" s="1"/>
      <c r="P81" s="1"/>
      <c r="Q81" s="69"/>
      <c r="R81" s="1"/>
      <c r="S81" s="1"/>
      <c r="T81" s="70" t="b">
        <v>0</v>
      </c>
      <c r="U81" s="1"/>
      <c r="V81" s="1"/>
      <c r="W81" s="1"/>
      <c r="X81" s="71" t="e">
        <f t="array" aca="1" ref="X81" ca="1">_xludf.XLOOKUP(A81,'WER 로그'!A:A,'WER 로그'!I:I,"")</f>
        <v>#NAME?</v>
      </c>
      <c r="Y81" s="70" t="e">
        <f t="array" aca="1" ref="Y81" ca="1">IF(AND(_xludf.XLOOKUP(A81,'5. 납품 전 체크리스트'!A:A,'5. 납품 전 체크리스트'!D:M,"",0)),TRUE,FALSE)</f>
        <v>#NAME?</v>
      </c>
      <c r="Z81" s="1"/>
    </row>
    <row r="82" spans="1:26" ht="22.5" customHeight="1">
      <c r="A82" s="1" t="str">
        <f>'2. 도서 정보'!A83</f>
        <v>SS0081</v>
      </c>
      <c r="B82" s="1" t="e">
        <f t="array" aca="1" ref="B82" ca="1">_xludf.XLOOKUP($A82,도서_정보[ID],도서_정보[도서명],"")</f>
        <v>#NAME?</v>
      </c>
      <c r="C82" s="1" t="e">
        <f t="array" aca="1" ref="C82" ca="1">_xludf.XLOOKUP($A82,도서_정보[ID],도서_정보[작업 페이지],"")</f>
        <v>#NAME?</v>
      </c>
      <c r="D82" s="1" t="e">
        <f t="array" aca="1" ref="D82" ca="1">_xludf.XLOOKUP($A82,도서_정보[ID],도서_정보[난이도],"")</f>
        <v>#NAME?</v>
      </c>
      <c r="E82" s="1" t="e">
        <f t="array" aca="1" ref="E82" ca="1">_xludf.XLOOKUP($A82,도서_정보[ID],도서_정보[추출 방식],"")</f>
        <v>#NAME?</v>
      </c>
      <c r="F82" s="69"/>
      <c r="G82" s="69"/>
      <c r="H82" s="1"/>
      <c r="I82" s="1"/>
      <c r="J82" s="1"/>
      <c r="K82" s="69"/>
      <c r="L82" s="69"/>
      <c r="M82" s="1"/>
      <c r="N82" s="1"/>
      <c r="O82" s="1"/>
      <c r="P82" s="1"/>
      <c r="Q82" s="69"/>
      <c r="R82" s="1"/>
      <c r="S82" s="1"/>
      <c r="T82" s="70" t="b">
        <v>0</v>
      </c>
      <c r="U82" s="1"/>
      <c r="V82" s="1"/>
      <c r="W82" s="1"/>
      <c r="X82" s="71" t="e">
        <f t="array" aca="1" ref="X82" ca="1">_xludf.XLOOKUP(A82,'WER 로그'!A:A,'WER 로그'!I:I,"")</f>
        <v>#NAME?</v>
      </c>
      <c r="Y82" s="70" t="e">
        <f t="array" aca="1" ref="Y82" ca="1">IF(AND(_xludf.XLOOKUP(A82,'5. 납품 전 체크리스트'!A:A,'5. 납품 전 체크리스트'!D:M,"",0)),TRUE,FALSE)</f>
        <v>#NAME?</v>
      </c>
      <c r="Z82" s="1"/>
    </row>
    <row r="83" spans="1:26" ht="22.5" customHeight="1">
      <c r="A83" s="1" t="str">
        <f>'2. 도서 정보'!A84</f>
        <v>SS0082</v>
      </c>
      <c r="B83" s="1" t="e">
        <f t="array" aca="1" ref="B83" ca="1">_xludf.XLOOKUP($A83,도서_정보[ID],도서_정보[도서명],"")</f>
        <v>#NAME?</v>
      </c>
      <c r="C83" s="1" t="e">
        <f t="array" aca="1" ref="C83" ca="1">_xludf.XLOOKUP($A83,도서_정보[ID],도서_정보[작업 페이지],"")</f>
        <v>#NAME?</v>
      </c>
      <c r="D83" s="1" t="e">
        <f t="array" aca="1" ref="D83" ca="1">_xludf.XLOOKUP($A83,도서_정보[ID],도서_정보[난이도],"")</f>
        <v>#NAME?</v>
      </c>
      <c r="E83" s="1" t="e">
        <f t="array" aca="1" ref="E83" ca="1">_xludf.XLOOKUP($A83,도서_정보[ID],도서_정보[추출 방식],"")</f>
        <v>#NAME?</v>
      </c>
      <c r="F83" s="69"/>
      <c r="G83" s="69"/>
      <c r="H83" s="1"/>
      <c r="I83" s="1"/>
      <c r="J83" s="1"/>
      <c r="K83" s="69"/>
      <c r="L83" s="69"/>
      <c r="M83" s="1"/>
      <c r="N83" s="1"/>
      <c r="O83" s="1"/>
      <c r="P83" s="1"/>
      <c r="Q83" s="69"/>
      <c r="R83" s="1"/>
      <c r="S83" s="1"/>
      <c r="T83" s="70" t="b">
        <v>0</v>
      </c>
      <c r="U83" s="1"/>
      <c r="V83" s="1"/>
      <c r="W83" s="1"/>
      <c r="X83" s="71" t="e">
        <f t="array" aca="1" ref="X83" ca="1">_xludf.XLOOKUP(A83,'WER 로그'!A:A,'WER 로그'!I:I,"")</f>
        <v>#NAME?</v>
      </c>
      <c r="Y83" s="70" t="e">
        <f t="array" aca="1" ref="Y83" ca="1">IF(AND(_xludf.XLOOKUP(A83,'5. 납품 전 체크리스트'!A:A,'5. 납품 전 체크리스트'!D:M,"",0)),TRUE,FALSE)</f>
        <v>#NAME?</v>
      </c>
      <c r="Z83" s="1"/>
    </row>
    <row r="84" spans="1:26" ht="22.5" customHeight="1">
      <c r="A84" s="1" t="str">
        <f>'2. 도서 정보'!A85</f>
        <v>SS0083</v>
      </c>
      <c r="B84" s="1" t="e">
        <f t="array" aca="1" ref="B84" ca="1">_xludf.XLOOKUP($A84,도서_정보[ID],도서_정보[도서명],"")</f>
        <v>#NAME?</v>
      </c>
      <c r="C84" s="1" t="e">
        <f t="array" aca="1" ref="C84" ca="1">_xludf.XLOOKUP($A84,도서_정보[ID],도서_정보[작업 페이지],"")</f>
        <v>#NAME?</v>
      </c>
      <c r="D84" s="1" t="e">
        <f t="array" aca="1" ref="D84" ca="1">_xludf.XLOOKUP($A84,도서_정보[ID],도서_정보[난이도],"")</f>
        <v>#NAME?</v>
      </c>
      <c r="E84" s="1" t="e">
        <f t="array" aca="1" ref="E84" ca="1">_xludf.XLOOKUP($A84,도서_정보[ID],도서_정보[추출 방식],"")</f>
        <v>#NAME?</v>
      </c>
      <c r="F84" s="69"/>
      <c r="G84" s="69"/>
      <c r="H84" s="1"/>
      <c r="I84" s="1"/>
      <c r="J84" s="1"/>
      <c r="K84" s="69"/>
      <c r="L84" s="69"/>
      <c r="M84" s="1"/>
      <c r="N84" s="1"/>
      <c r="O84" s="1"/>
      <c r="P84" s="1"/>
      <c r="Q84" s="69"/>
      <c r="R84" s="1"/>
      <c r="S84" s="1"/>
      <c r="T84" s="70" t="b">
        <v>0</v>
      </c>
      <c r="U84" s="1"/>
      <c r="V84" s="1"/>
      <c r="W84" s="1"/>
      <c r="X84" s="71" t="e">
        <f t="array" aca="1" ref="X84" ca="1">_xludf.XLOOKUP(A84,'WER 로그'!A:A,'WER 로그'!I:I,"")</f>
        <v>#NAME?</v>
      </c>
      <c r="Y84" s="70" t="e">
        <f t="array" aca="1" ref="Y84" ca="1">IF(AND(_xludf.XLOOKUP(A84,'5. 납품 전 체크리스트'!A:A,'5. 납품 전 체크리스트'!D:M,"",0)),TRUE,FALSE)</f>
        <v>#NAME?</v>
      </c>
      <c r="Z84" s="1"/>
    </row>
    <row r="85" spans="1:26" ht="22.5" customHeight="1">
      <c r="A85" s="1" t="str">
        <f>'2. 도서 정보'!A86</f>
        <v>SS0084</v>
      </c>
      <c r="B85" s="1" t="e">
        <f t="array" aca="1" ref="B85" ca="1">_xludf.XLOOKUP($A85,도서_정보[ID],도서_정보[도서명],"")</f>
        <v>#NAME?</v>
      </c>
      <c r="C85" s="1" t="e">
        <f t="array" aca="1" ref="C85" ca="1">_xludf.XLOOKUP($A85,도서_정보[ID],도서_정보[작업 페이지],"")</f>
        <v>#NAME?</v>
      </c>
      <c r="D85" s="1" t="e">
        <f t="array" aca="1" ref="D85" ca="1">_xludf.XLOOKUP($A85,도서_정보[ID],도서_정보[난이도],"")</f>
        <v>#NAME?</v>
      </c>
      <c r="E85" s="1" t="e">
        <f t="array" aca="1" ref="E85" ca="1">_xludf.XLOOKUP($A85,도서_정보[ID],도서_정보[추출 방식],"")</f>
        <v>#NAME?</v>
      </c>
      <c r="F85" s="69"/>
      <c r="G85" s="69"/>
      <c r="H85" s="1"/>
      <c r="I85" s="1"/>
      <c r="J85" s="1"/>
      <c r="K85" s="69"/>
      <c r="L85" s="69"/>
      <c r="M85" s="1"/>
      <c r="N85" s="1"/>
      <c r="O85" s="1"/>
      <c r="P85" s="1"/>
      <c r="Q85" s="69"/>
      <c r="R85" s="1"/>
      <c r="S85" s="1"/>
      <c r="T85" s="70" t="b">
        <v>0</v>
      </c>
      <c r="U85" s="1"/>
      <c r="V85" s="1"/>
      <c r="W85" s="1"/>
      <c r="X85" s="71" t="e">
        <f t="array" aca="1" ref="X85" ca="1">_xludf.XLOOKUP(A85,'WER 로그'!A:A,'WER 로그'!I:I,"")</f>
        <v>#NAME?</v>
      </c>
      <c r="Y85" s="70" t="e">
        <f t="array" aca="1" ref="Y85" ca="1">IF(AND(_xludf.XLOOKUP(A85,'5. 납품 전 체크리스트'!A:A,'5. 납품 전 체크리스트'!D:M,"",0)),TRUE,FALSE)</f>
        <v>#NAME?</v>
      </c>
      <c r="Z85" s="1"/>
    </row>
    <row r="86" spans="1:26" ht="22.5" customHeight="1">
      <c r="A86" s="1" t="str">
        <f>'2. 도서 정보'!A87</f>
        <v>SS0085</v>
      </c>
      <c r="B86" s="1" t="e">
        <f t="array" aca="1" ref="B86" ca="1">_xludf.XLOOKUP($A86,도서_정보[ID],도서_정보[도서명],"")</f>
        <v>#NAME?</v>
      </c>
      <c r="C86" s="1" t="e">
        <f t="array" aca="1" ref="C86" ca="1">_xludf.XLOOKUP($A86,도서_정보[ID],도서_정보[작업 페이지],"")</f>
        <v>#NAME?</v>
      </c>
      <c r="D86" s="1" t="e">
        <f t="array" aca="1" ref="D86" ca="1">_xludf.XLOOKUP($A86,도서_정보[ID],도서_정보[난이도],"")</f>
        <v>#NAME?</v>
      </c>
      <c r="E86" s="1" t="e">
        <f t="array" aca="1" ref="E86" ca="1">_xludf.XLOOKUP($A86,도서_정보[ID],도서_정보[추출 방식],"")</f>
        <v>#NAME?</v>
      </c>
      <c r="F86" s="69"/>
      <c r="G86" s="69"/>
      <c r="H86" s="1"/>
      <c r="I86" s="1"/>
      <c r="J86" s="1"/>
      <c r="K86" s="69"/>
      <c r="L86" s="69"/>
      <c r="M86" s="1"/>
      <c r="N86" s="1"/>
      <c r="O86" s="1"/>
      <c r="P86" s="1"/>
      <c r="Q86" s="69"/>
      <c r="R86" s="1"/>
      <c r="S86" s="1"/>
      <c r="T86" s="70" t="b">
        <v>0</v>
      </c>
      <c r="U86" s="1"/>
      <c r="V86" s="1"/>
      <c r="W86" s="1"/>
      <c r="X86" s="71" t="e">
        <f t="array" aca="1" ref="X86" ca="1">_xludf.XLOOKUP(A86,'WER 로그'!A:A,'WER 로그'!I:I,"")</f>
        <v>#NAME?</v>
      </c>
      <c r="Y86" s="70" t="e">
        <f t="array" aca="1" ref="Y86" ca="1">IF(AND(_xludf.XLOOKUP(A86,'5. 납품 전 체크리스트'!A:A,'5. 납품 전 체크리스트'!D:M,"",0)),TRUE,FALSE)</f>
        <v>#NAME?</v>
      </c>
      <c r="Z86" s="1"/>
    </row>
    <row r="87" spans="1:26" ht="22.5" customHeight="1">
      <c r="A87" s="1" t="str">
        <f>'2. 도서 정보'!A88</f>
        <v>SS0086</v>
      </c>
      <c r="B87" s="1" t="e">
        <f t="array" aca="1" ref="B87" ca="1">_xludf.XLOOKUP($A87,도서_정보[ID],도서_정보[도서명],"")</f>
        <v>#NAME?</v>
      </c>
      <c r="C87" s="1" t="e">
        <f t="array" aca="1" ref="C87" ca="1">_xludf.XLOOKUP($A87,도서_정보[ID],도서_정보[작업 페이지],"")</f>
        <v>#NAME?</v>
      </c>
      <c r="D87" s="1" t="e">
        <f t="array" aca="1" ref="D87" ca="1">_xludf.XLOOKUP($A87,도서_정보[ID],도서_정보[난이도],"")</f>
        <v>#NAME?</v>
      </c>
      <c r="E87" s="1" t="e">
        <f t="array" aca="1" ref="E87" ca="1">_xludf.XLOOKUP($A87,도서_정보[ID],도서_정보[추출 방식],"")</f>
        <v>#NAME?</v>
      </c>
      <c r="F87" s="69"/>
      <c r="G87" s="69"/>
      <c r="H87" s="1"/>
      <c r="I87" s="1"/>
      <c r="J87" s="1"/>
      <c r="K87" s="69"/>
      <c r="L87" s="69"/>
      <c r="M87" s="1"/>
      <c r="N87" s="1"/>
      <c r="O87" s="1"/>
      <c r="P87" s="1"/>
      <c r="Q87" s="69"/>
      <c r="R87" s="1"/>
      <c r="S87" s="1"/>
      <c r="T87" s="70" t="b">
        <v>0</v>
      </c>
      <c r="U87" s="1"/>
      <c r="V87" s="1"/>
      <c r="W87" s="1"/>
      <c r="X87" s="71" t="e">
        <f t="array" aca="1" ref="X87" ca="1">_xludf.XLOOKUP(A87,'WER 로그'!A:A,'WER 로그'!I:I,"")</f>
        <v>#NAME?</v>
      </c>
      <c r="Y87" s="70" t="e">
        <f t="array" aca="1" ref="Y87" ca="1">IF(AND(_xludf.XLOOKUP(A87,'5. 납품 전 체크리스트'!A:A,'5. 납품 전 체크리스트'!D:M,"",0)),TRUE,FALSE)</f>
        <v>#NAME?</v>
      </c>
      <c r="Z87" s="1"/>
    </row>
    <row r="88" spans="1:26" ht="22.5" customHeight="1">
      <c r="A88" s="1" t="str">
        <f>'2. 도서 정보'!A89</f>
        <v>SS0087</v>
      </c>
      <c r="B88" s="1" t="e">
        <f t="array" aca="1" ref="B88" ca="1">_xludf.XLOOKUP($A88,도서_정보[ID],도서_정보[도서명],"")</f>
        <v>#NAME?</v>
      </c>
      <c r="C88" s="1" t="e">
        <f t="array" aca="1" ref="C88" ca="1">_xludf.XLOOKUP($A88,도서_정보[ID],도서_정보[작업 페이지],"")</f>
        <v>#NAME?</v>
      </c>
      <c r="D88" s="1" t="e">
        <f t="array" aca="1" ref="D88" ca="1">_xludf.XLOOKUP($A88,도서_정보[ID],도서_정보[난이도],"")</f>
        <v>#NAME?</v>
      </c>
      <c r="E88" s="1" t="e">
        <f t="array" aca="1" ref="E88" ca="1">_xludf.XLOOKUP($A88,도서_정보[ID],도서_정보[추출 방식],"")</f>
        <v>#NAME?</v>
      </c>
      <c r="F88" s="69"/>
      <c r="G88" s="69"/>
      <c r="H88" s="1"/>
      <c r="I88" s="1"/>
      <c r="J88" s="1"/>
      <c r="K88" s="69"/>
      <c r="L88" s="69"/>
      <c r="M88" s="1"/>
      <c r="N88" s="1"/>
      <c r="O88" s="1"/>
      <c r="P88" s="1"/>
      <c r="Q88" s="69"/>
      <c r="R88" s="1"/>
      <c r="S88" s="1"/>
      <c r="T88" s="70" t="b">
        <v>0</v>
      </c>
      <c r="U88" s="1"/>
      <c r="V88" s="1"/>
      <c r="W88" s="1"/>
      <c r="X88" s="71" t="e">
        <f t="array" aca="1" ref="X88" ca="1">_xludf.XLOOKUP(A88,'WER 로그'!A:A,'WER 로그'!I:I,"")</f>
        <v>#NAME?</v>
      </c>
      <c r="Y88" s="70" t="e">
        <f t="array" aca="1" ref="Y88" ca="1">IF(AND(_xludf.XLOOKUP(A88,'5. 납품 전 체크리스트'!A:A,'5. 납품 전 체크리스트'!D:M,"",0)),TRUE,FALSE)</f>
        <v>#NAME?</v>
      </c>
      <c r="Z88" s="1"/>
    </row>
    <row r="89" spans="1:26" ht="22.5" customHeight="1">
      <c r="A89" s="1" t="str">
        <f>'2. 도서 정보'!A90</f>
        <v>SS0088</v>
      </c>
      <c r="B89" s="1" t="e">
        <f t="array" aca="1" ref="B89" ca="1">_xludf.XLOOKUP($A89,도서_정보[ID],도서_정보[도서명],"")</f>
        <v>#NAME?</v>
      </c>
      <c r="C89" s="1" t="e">
        <f t="array" aca="1" ref="C89" ca="1">_xludf.XLOOKUP($A89,도서_정보[ID],도서_정보[작업 페이지],"")</f>
        <v>#NAME?</v>
      </c>
      <c r="D89" s="1" t="e">
        <f t="array" aca="1" ref="D89" ca="1">_xludf.XLOOKUP($A89,도서_정보[ID],도서_정보[난이도],"")</f>
        <v>#NAME?</v>
      </c>
      <c r="E89" s="1" t="e">
        <f t="array" aca="1" ref="E89" ca="1">_xludf.XLOOKUP($A89,도서_정보[ID],도서_정보[추출 방식],"")</f>
        <v>#NAME?</v>
      </c>
      <c r="F89" s="69"/>
      <c r="G89" s="69"/>
      <c r="H89" s="1"/>
      <c r="I89" s="1"/>
      <c r="J89" s="1"/>
      <c r="K89" s="69"/>
      <c r="L89" s="69"/>
      <c r="M89" s="1"/>
      <c r="N89" s="1"/>
      <c r="O89" s="1"/>
      <c r="P89" s="1"/>
      <c r="Q89" s="69"/>
      <c r="R89" s="1"/>
      <c r="S89" s="1"/>
      <c r="T89" s="70" t="b">
        <v>0</v>
      </c>
      <c r="U89" s="1"/>
      <c r="V89" s="1"/>
      <c r="W89" s="1"/>
      <c r="X89" s="71" t="e">
        <f t="array" aca="1" ref="X89" ca="1">_xludf.XLOOKUP(A89,'WER 로그'!A:A,'WER 로그'!I:I,"")</f>
        <v>#NAME?</v>
      </c>
      <c r="Y89" s="70" t="e">
        <f t="array" aca="1" ref="Y89" ca="1">IF(AND(_xludf.XLOOKUP(A89,'5. 납품 전 체크리스트'!A:A,'5. 납품 전 체크리스트'!D:M,"",0)),TRUE,FALSE)</f>
        <v>#NAME?</v>
      </c>
      <c r="Z89" s="1"/>
    </row>
    <row r="90" spans="1:26" ht="22.5" customHeight="1">
      <c r="A90" s="1" t="str">
        <f>'2. 도서 정보'!A91</f>
        <v>SS0089</v>
      </c>
      <c r="B90" s="1" t="e">
        <f t="array" aca="1" ref="B90" ca="1">_xludf.XLOOKUP($A90,도서_정보[ID],도서_정보[도서명],"")</f>
        <v>#NAME?</v>
      </c>
      <c r="C90" s="1" t="e">
        <f t="array" aca="1" ref="C90" ca="1">_xludf.XLOOKUP($A90,도서_정보[ID],도서_정보[작업 페이지],"")</f>
        <v>#NAME?</v>
      </c>
      <c r="D90" s="1" t="e">
        <f t="array" aca="1" ref="D90" ca="1">_xludf.XLOOKUP($A90,도서_정보[ID],도서_정보[난이도],"")</f>
        <v>#NAME?</v>
      </c>
      <c r="E90" s="1" t="e">
        <f t="array" aca="1" ref="E90" ca="1">_xludf.XLOOKUP($A90,도서_정보[ID],도서_정보[추출 방식],"")</f>
        <v>#NAME?</v>
      </c>
      <c r="F90" s="69"/>
      <c r="G90" s="69"/>
      <c r="H90" s="1"/>
      <c r="I90" s="1"/>
      <c r="J90" s="1"/>
      <c r="K90" s="69"/>
      <c r="L90" s="69"/>
      <c r="M90" s="1"/>
      <c r="N90" s="1"/>
      <c r="O90" s="1"/>
      <c r="P90" s="1"/>
      <c r="Q90" s="69"/>
      <c r="R90" s="1"/>
      <c r="S90" s="1"/>
      <c r="T90" s="70" t="b">
        <v>0</v>
      </c>
      <c r="U90" s="1"/>
      <c r="V90" s="1"/>
      <c r="W90" s="1"/>
      <c r="X90" s="71" t="e">
        <f t="array" aca="1" ref="X90" ca="1">_xludf.XLOOKUP(A90,'WER 로그'!A:A,'WER 로그'!I:I,"")</f>
        <v>#NAME?</v>
      </c>
      <c r="Y90" s="70" t="e">
        <f t="array" aca="1" ref="Y90" ca="1">IF(AND(_xludf.XLOOKUP(A90,'5. 납품 전 체크리스트'!A:A,'5. 납품 전 체크리스트'!D:M,"",0)),TRUE,FALSE)</f>
        <v>#NAME?</v>
      </c>
      <c r="Z90" s="1"/>
    </row>
    <row r="91" spans="1:26" ht="22.5" customHeight="1">
      <c r="A91" s="1" t="str">
        <f>'2. 도서 정보'!A92</f>
        <v>SS0090</v>
      </c>
      <c r="B91" s="1" t="e">
        <f t="array" aca="1" ref="B91" ca="1">_xludf.XLOOKUP($A91,도서_정보[ID],도서_정보[도서명],"")</f>
        <v>#NAME?</v>
      </c>
      <c r="C91" s="1" t="e">
        <f t="array" aca="1" ref="C91" ca="1">_xludf.XLOOKUP($A91,도서_정보[ID],도서_정보[작업 페이지],"")</f>
        <v>#NAME?</v>
      </c>
      <c r="D91" s="1" t="e">
        <f t="array" aca="1" ref="D91" ca="1">_xludf.XLOOKUP($A91,도서_정보[ID],도서_정보[난이도],"")</f>
        <v>#NAME?</v>
      </c>
      <c r="E91" s="1" t="e">
        <f t="array" aca="1" ref="E91" ca="1">_xludf.XLOOKUP($A91,도서_정보[ID],도서_정보[추출 방식],"")</f>
        <v>#NAME?</v>
      </c>
      <c r="F91" s="69"/>
      <c r="G91" s="69"/>
      <c r="H91" s="1"/>
      <c r="I91" s="1"/>
      <c r="J91" s="1"/>
      <c r="K91" s="69"/>
      <c r="L91" s="69"/>
      <c r="M91" s="1"/>
      <c r="N91" s="1"/>
      <c r="O91" s="1"/>
      <c r="P91" s="1"/>
      <c r="Q91" s="69"/>
      <c r="R91" s="1"/>
      <c r="S91" s="1"/>
      <c r="T91" s="70" t="b">
        <v>0</v>
      </c>
      <c r="U91" s="1"/>
      <c r="V91" s="1"/>
      <c r="W91" s="1"/>
      <c r="X91" s="71" t="e">
        <f t="array" aca="1" ref="X91" ca="1">_xludf.XLOOKUP(A91,'WER 로그'!A:A,'WER 로그'!I:I,"")</f>
        <v>#NAME?</v>
      </c>
      <c r="Y91" s="70" t="e">
        <f t="array" aca="1" ref="Y91" ca="1">IF(AND(_xludf.XLOOKUP(A91,'5. 납품 전 체크리스트'!A:A,'5. 납품 전 체크리스트'!D:M,"",0)),TRUE,FALSE)</f>
        <v>#NAME?</v>
      </c>
      <c r="Z91" s="1"/>
    </row>
    <row r="92" spans="1:26" ht="22.5" customHeight="1">
      <c r="A92" s="1" t="str">
        <f>'2. 도서 정보'!A93</f>
        <v>SS0091</v>
      </c>
      <c r="B92" s="1" t="e">
        <f t="array" aca="1" ref="B92" ca="1">_xludf.XLOOKUP($A92,도서_정보[ID],도서_정보[도서명],"")</f>
        <v>#NAME?</v>
      </c>
      <c r="C92" s="1" t="e">
        <f t="array" aca="1" ref="C92" ca="1">_xludf.XLOOKUP($A92,도서_정보[ID],도서_정보[작업 페이지],"")</f>
        <v>#NAME?</v>
      </c>
      <c r="D92" s="1" t="e">
        <f t="array" aca="1" ref="D92" ca="1">_xludf.XLOOKUP($A92,도서_정보[ID],도서_정보[난이도],"")</f>
        <v>#NAME?</v>
      </c>
      <c r="E92" s="1" t="e">
        <f t="array" aca="1" ref="E92" ca="1">_xludf.XLOOKUP($A92,도서_정보[ID],도서_정보[추출 방식],"")</f>
        <v>#NAME?</v>
      </c>
      <c r="F92" s="69"/>
      <c r="G92" s="69"/>
      <c r="H92" s="1"/>
      <c r="I92" s="1"/>
      <c r="J92" s="1"/>
      <c r="K92" s="69"/>
      <c r="L92" s="69"/>
      <c r="M92" s="1"/>
      <c r="N92" s="1"/>
      <c r="O92" s="1"/>
      <c r="P92" s="1"/>
      <c r="Q92" s="69"/>
      <c r="R92" s="1"/>
      <c r="S92" s="1"/>
      <c r="T92" s="70" t="b">
        <v>0</v>
      </c>
      <c r="U92" s="1"/>
      <c r="V92" s="1"/>
      <c r="W92" s="1"/>
      <c r="X92" s="71" t="e">
        <f t="array" aca="1" ref="X92" ca="1">_xludf.XLOOKUP(A92,'WER 로그'!A:A,'WER 로그'!I:I,"")</f>
        <v>#NAME?</v>
      </c>
      <c r="Y92" s="70" t="e">
        <f t="array" aca="1" ref="Y92" ca="1">IF(AND(_xludf.XLOOKUP(A92,'5. 납품 전 체크리스트'!A:A,'5. 납품 전 체크리스트'!D:M,"",0)),TRUE,FALSE)</f>
        <v>#NAME?</v>
      </c>
      <c r="Z92" s="1"/>
    </row>
    <row r="93" spans="1:26" ht="22.5" customHeight="1">
      <c r="A93" s="1" t="str">
        <f>'2. 도서 정보'!A94</f>
        <v>SS0092</v>
      </c>
      <c r="B93" s="1" t="e">
        <f t="array" aca="1" ref="B93" ca="1">_xludf.XLOOKUP($A93,도서_정보[ID],도서_정보[도서명],"")</f>
        <v>#NAME?</v>
      </c>
      <c r="C93" s="1" t="e">
        <f t="array" aca="1" ref="C93" ca="1">_xludf.XLOOKUP($A93,도서_정보[ID],도서_정보[작업 페이지],"")</f>
        <v>#NAME?</v>
      </c>
      <c r="D93" s="1" t="e">
        <f t="array" aca="1" ref="D93" ca="1">_xludf.XLOOKUP($A93,도서_정보[ID],도서_정보[난이도],"")</f>
        <v>#NAME?</v>
      </c>
      <c r="E93" s="1" t="e">
        <f t="array" aca="1" ref="E93" ca="1">_xludf.XLOOKUP($A93,도서_정보[ID],도서_정보[추출 방식],"")</f>
        <v>#NAME?</v>
      </c>
      <c r="F93" s="69"/>
      <c r="G93" s="69"/>
      <c r="H93" s="1"/>
      <c r="I93" s="1"/>
      <c r="J93" s="1"/>
      <c r="K93" s="69"/>
      <c r="L93" s="69"/>
      <c r="M93" s="1"/>
      <c r="N93" s="1"/>
      <c r="O93" s="1"/>
      <c r="P93" s="1"/>
      <c r="Q93" s="69"/>
      <c r="R93" s="1"/>
      <c r="S93" s="1"/>
      <c r="T93" s="70" t="b">
        <v>0</v>
      </c>
      <c r="U93" s="1"/>
      <c r="V93" s="1"/>
      <c r="W93" s="1"/>
      <c r="X93" s="71" t="e">
        <f t="array" aca="1" ref="X93" ca="1">_xludf.XLOOKUP(A93,'WER 로그'!A:A,'WER 로그'!I:I,"")</f>
        <v>#NAME?</v>
      </c>
      <c r="Y93" s="70" t="e">
        <f t="array" aca="1" ref="Y93" ca="1">IF(AND(_xludf.XLOOKUP(A93,'5. 납품 전 체크리스트'!A:A,'5. 납품 전 체크리스트'!D:M,"",0)),TRUE,FALSE)</f>
        <v>#NAME?</v>
      </c>
      <c r="Z93" s="1"/>
    </row>
    <row r="94" spans="1:26" ht="22.5" customHeight="1">
      <c r="A94" s="1" t="str">
        <f>'2. 도서 정보'!A95</f>
        <v>SS0093</v>
      </c>
      <c r="B94" s="1" t="e">
        <f t="array" aca="1" ref="B94" ca="1">_xludf.XLOOKUP($A94,도서_정보[ID],도서_정보[도서명],"")</f>
        <v>#NAME?</v>
      </c>
      <c r="C94" s="1" t="e">
        <f t="array" aca="1" ref="C94" ca="1">_xludf.XLOOKUP($A94,도서_정보[ID],도서_정보[작업 페이지],"")</f>
        <v>#NAME?</v>
      </c>
      <c r="D94" s="1" t="e">
        <f t="array" aca="1" ref="D94" ca="1">_xludf.XLOOKUP($A94,도서_정보[ID],도서_정보[난이도],"")</f>
        <v>#NAME?</v>
      </c>
      <c r="E94" s="1" t="e">
        <f t="array" aca="1" ref="E94" ca="1">_xludf.XLOOKUP($A94,도서_정보[ID],도서_정보[추출 방식],"")</f>
        <v>#NAME?</v>
      </c>
      <c r="F94" s="69"/>
      <c r="G94" s="69"/>
      <c r="H94" s="1"/>
      <c r="I94" s="1"/>
      <c r="J94" s="1"/>
      <c r="K94" s="69"/>
      <c r="L94" s="69"/>
      <c r="M94" s="1"/>
      <c r="N94" s="1"/>
      <c r="O94" s="1"/>
      <c r="P94" s="1"/>
      <c r="Q94" s="69"/>
      <c r="R94" s="1"/>
      <c r="S94" s="1"/>
      <c r="T94" s="70" t="b">
        <v>0</v>
      </c>
      <c r="U94" s="1"/>
      <c r="V94" s="1"/>
      <c r="W94" s="1"/>
      <c r="X94" s="71" t="e">
        <f t="array" aca="1" ref="X94" ca="1">_xludf.XLOOKUP(A94,'WER 로그'!A:A,'WER 로그'!I:I,"")</f>
        <v>#NAME?</v>
      </c>
      <c r="Y94" s="70" t="e">
        <f t="array" aca="1" ref="Y94" ca="1">IF(AND(_xludf.XLOOKUP(A94,'5. 납품 전 체크리스트'!A:A,'5. 납품 전 체크리스트'!D:M,"",0)),TRUE,FALSE)</f>
        <v>#NAME?</v>
      </c>
      <c r="Z94" s="1"/>
    </row>
    <row r="95" spans="1:26" ht="22.5" customHeight="1">
      <c r="A95" s="1" t="str">
        <f>'2. 도서 정보'!A96</f>
        <v>SS0094</v>
      </c>
      <c r="B95" s="1" t="e">
        <f t="array" aca="1" ref="B95" ca="1">_xludf.XLOOKUP($A95,도서_정보[ID],도서_정보[도서명],"")</f>
        <v>#NAME?</v>
      </c>
      <c r="C95" s="1" t="e">
        <f t="array" aca="1" ref="C95" ca="1">_xludf.XLOOKUP($A95,도서_정보[ID],도서_정보[작업 페이지],"")</f>
        <v>#NAME?</v>
      </c>
      <c r="D95" s="1" t="e">
        <f t="array" aca="1" ref="D95" ca="1">_xludf.XLOOKUP($A95,도서_정보[ID],도서_정보[난이도],"")</f>
        <v>#NAME?</v>
      </c>
      <c r="E95" s="1" t="e">
        <f t="array" aca="1" ref="E95" ca="1">_xludf.XLOOKUP($A95,도서_정보[ID],도서_정보[추출 방식],"")</f>
        <v>#NAME?</v>
      </c>
      <c r="F95" s="69"/>
      <c r="G95" s="69"/>
      <c r="H95" s="1"/>
      <c r="I95" s="1"/>
      <c r="J95" s="1"/>
      <c r="K95" s="69"/>
      <c r="L95" s="69"/>
      <c r="M95" s="1"/>
      <c r="N95" s="1"/>
      <c r="O95" s="1"/>
      <c r="P95" s="1"/>
      <c r="Q95" s="69"/>
      <c r="R95" s="1"/>
      <c r="S95" s="1"/>
      <c r="T95" s="70" t="b">
        <v>0</v>
      </c>
      <c r="U95" s="1"/>
      <c r="V95" s="1"/>
      <c r="W95" s="1"/>
      <c r="X95" s="71" t="e">
        <f t="array" aca="1" ref="X95" ca="1">_xludf.XLOOKUP(A95,'WER 로그'!A:A,'WER 로그'!I:I,"")</f>
        <v>#NAME?</v>
      </c>
      <c r="Y95" s="70" t="e">
        <f t="array" aca="1" ref="Y95" ca="1">IF(AND(_xludf.XLOOKUP(A95,'5. 납품 전 체크리스트'!A:A,'5. 납품 전 체크리스트'!D:M,"",0)),TRUE,FALSE)</f>
        <v>#NAME?</v>
      </c>
      <c r="Z95" s="1"/>
    </row>
    <row r="96" spans="1:26" ht="22.5" customHeight="1">
      <c r="A96" s="1" t="str">
        <f>'2. 도서 정보'!A97</f>
        <v>SS0095</v>
      </c>
      <c r="B96" s="1" t="e">
        <f t="array" aca="1" ref="B96" ca="1">_xludf.XLOOKUP($A96,도서_정보[ID],도서_정보[도서명],"")</f>
        <v>#NAME?</v>
      </c>
      <c r="C96" s="1" t="e">
        <f t="array" aca="1" ref="C96" ca="1">_xludf.XLOOKUP($A96,도서_정보[ID],도서_정보[작업 페이지],"")</f>
        <v>#NAME?</v>
      </c>
      <c r="D96" s="1" t="e">
        <f t="array" aca="1" ref="D96" ca="1">_xludf.XLOOKUP($A96,도서_정보[ID],도서_정보[난이도],"")</f>
        <v>#NAME?</v>
      </c>
      <c r="E96" s="1" t="e">
        <f t="array" aca="1" ref="E96" ca="1">_xludf.XLOOKUP($A96,도서_정보[ID],도서_정보[추출 방식],"")</f>
        <v>#NAME?</v>
      </c>
      <c r="F96" s="69"/>
      <c r="G96" s="69"/>
      <c r="H96" s="1"/>
      <c r="I96" s="1"/>
      <c r="J96" s="1"/>
      <c r="K96" s="69"/>
      <c r="L96" s="69"/>
      <c r="M96" s="1"/>
      <c r="N96" s="1"/>
      <c r="O96" s="1"/>
      <c r="P96" s="1"/>
      <c r="Q96" s="69"/>
      <c r="R96" s="1"/>
      <c r="S96" s="1"/>
      <c r="T96" s="70" t="b">
        <v>0</v>
      </c>
      <c r="U96" s="1"/>
      <c r="V96" s="1"/>
      <c r="W96" s="1"/>
      <c r="X96" s="71" t="e">
        <f t="array" aca="1" ref="X96" ca="1">_xludf.XLOOKUP(A96,'WER 로그'!A:A,'WER 로그'!I:I,"")</f>
        <v>#NAME?</v>
      </c>
      <c r="Y96" s="70" t="e">
        <f t="array" aca="1" ref="Y96" ca="1">IF(AND(_xludf.XLOOKUP(A96,'5. 납품 전 체크리스트'!A:A,'5. 납품 전 체크리스트'!D:M,"",0)),TRUE,FALSE)</f>
        <v>#NAME?</v>
      </c>
      <c r="Z96" s="1"/>
    </row>
    <row r="97" spans="1:26" ht="22.5" customHeight="1">
      <c r="A97" s="1" t="str">
        <f>'2. 도서 정보'!A98</f>
        <v>SS0096</v>
      </c>
      <c r="B97" s="1" t="e">
        <f t="array" aca="1" ref="B97" ca="1">_xludf.XLOOKUP($A97,도서_정보[ID],도서_정보[도서명],"")</f>
        <v>#NAME?</v>
      </c>
      <c r="C97" s="1" t="e">
        <f t="array" aca="1" ref="C97" ca="1">_xludf.XLOOKUP($A97,도서_정보[ID],도서_정보[작업 페이지],"")</f>
        <v>#NAME?</v>
      </c>
      <c r="D97" s="1" t="e">
        <f t="array" aca="1" ref="D97" ca="1">_xludf.XLOOKUP($A97,도서_정보[ID],도서_정보[난이도],"")</f>
        <v>#NAME?</v>
      </c>
      <c r="E97" s="1" t="e">
        <f t="array" aca="1" ref="E97" ca="1">_xludf.XLOOKUP($A97,도서_정보[ID],도서_정보[추출 방식],"")</f>
        <v>#NAME?</v>
      </c>
      <c r="F97" s="69"/>
      <c r="G97" s="69"/>
      <c r="H97" s="1"/>
      <c r="I97" s="1"/>
      <c r="J97" s="1"/>
      <c r="K97" s="69"/>
      <c r="L97" s="69"/>
      <c r="M97" s="1"/>
      <c r="N97" s="1"/>
      <c r="O97" s="1"/>
      <c r="P97" s="1"/>
      <c r="Q97" s="69"/>
      <c r="R97" s="1"/>
      <c r="S97" s="1"/>
      <c r="T97" s="70" t="b">
        <v>0</v>
      </c>
      <c r="U97" s="1"/>
      <c r="V97" s="1"/>
      <c r="W97" s="1"/>
      <c r="X97" s="71" t="e">
        <f t="array" aca="1" ref="X97" ca="1">_xludf.XLOOKUP(A97,'WER 로그'!A:A,'WER 로그'!I:I,"")</f>
        <v>#NAME?</v>
      </c>
      <c r="Y97" s="70" t="e">
        <f t="array" aca="1" ref="Y97" ca="1">IF(AND(_xludf.XLOOKUP(A97,'5. 납품 전 체크리스트'!A:A,'5. 납품 전 체크리스트'!D:M,"",0)),TRUE,FALSE)</f>
        <v>#NAME?</v>
      </c>
      <c r="Z97" s="1"/>
    </row>
    <row r="98" spans="1:26" ht="22.5" customHeight="1">
      <c r="A98" s="1" t="str">
        <f>'2. 도서 정보'!A99</f>
        <v>SS0097</v>
      </c>
      <c r="B98" s="1" t="e">
        <f t="array" aca="1" ref="B98" ca="1">_xludf.XLOOKUP($A98,도서_정보[ID],도서_정보[도서명],"")</f>
        <v>#NAME?</v>
      </c>
      <c r="C98" s="1" t="e">
        <f t="array" aca="1" ref="C98" ca="1">_xludf.XLOOKUP($A98,도서_정보[ID],도서_정보[작업 페이지],"")</f>
        <v>#NAME?</v>
      </c>
      <c r="D98" s="1" t="e">
        <f t="array" aca="1" ref="D98" ca="1">_xludf.XLOOKUP($A98,도서_정보[ID],도서_정보[난이도],"")</f>
        <v>#NAME?</v>
      </c>
      <c r="E98" s="1" t="e">
        <f t="array" aca="1" ref="E98" ca="1">_xludf.XLOOKUP($A98,도서_정보[ID],도서_정보[추출 방식],"")</f>
        <v>#NAME?</v>
      </c>
      <c r="F98" s="69"/>
      <c r="G98" s="69"/>
      <c r="H98" s="1"/>
      <c r="I98" s="1"/>
      <c r="J98" s="1"/>
      <c r="K98" s="69"/>
      <c r="L98" s="69"/>
      <c r="M98" s="1"/>
      <c r="N98" s="1"/>
      <c r="O98" s="1"/>
      <c r="P98" s="1"/>
      <c r="Q98" s="69"/>
      <c r="R98" s="1"/>
      <c r="S98" s="1"/>
      <c r="T98" s="70" t="b">
        <v>0</v>
      </c>
      <c r="U98" s="1"/>
      <c r="V98" s="1"/>
      <c r="W98" s="1"/>
      <c r="X98" s="71" t="e">
        <f t="array" aca="1" ref="X98" ca="1">_xludf.XLOOKUP(A98,'WER 로그'!A:A,'WER 로그'!I:I,"")</f>
        <v>#NAME?</v>
      </c>
      <c r="Y98" s="70" t="e">
        <f t="array" aca="1" ref="Y98" ca="1">IF(AND(_xludf.XLOOKUP(A98,'5. 납품 전 체크리스트'!A:A,'5. 납품 전 체크리스트'!D:M,"",0)),TRUE,FALSE)</f>
        <v>#NAME?</v>
      </c>
      <c r="Z98" s="1"/>
    </row>
    <row r="99" spans="1:26" ht="22.5" customHeight="1">
      <c r="A99" s="1" t="str">
        <f>'2. 도서 정보'!A100</f>
        <v>SS0098</v>
      </c>
      <c r="B99" s="1" t="e">
        <f t="array" aca="1" ref="B99" ca="1">_xludf.XLOOKUP($A99,도서_정보[ID],도서_정보[도서명],"")</f>
        <v>#NAME?</v>
      </c>
      <c r="C99" s="1" t="e">
        <f t="array" aca="1" ref="C99" ca="1">_xludf.XLOOKUP($A99,도서_정보[ID],도서_정보[작업 페이지],"")</f>
        <v>#NAME?</v>
      </c>
      <c r="D99" s="1" t="e">
        <f t="array" aca="1" ref="D99" ca="1">_xludf.XLOOKUP($A99,도서_정보[ID],도서_정보[난이도],"")</f>
        <v>#NAME?</v>
      </c>
      <c r="E99" s="1" t="e">
        <f t="array" aca="1" ref="E99" ca="1">_xludf.XLOOKUP($A99,도서_정보[ID],도서_정보[추출 방식],"")</f>
        <v>#NAME?</v>
      </c>
      <c r="F99" s="69"/>
      <c r="G99" s="69"/>
      <c r="H99" s="1"/>
      <c r="I99" s="1"/>
      <c r="J99" s="1"/>
      <c r="K99" s="69"/>
      <c r="L99" s="69"/>
      <c r="M99" s="1"/>
      <c r="N99" s="1"/>
      <c r="O99" s="1"/>
      <c r="P99" s="1"/>
      <c r="Q99" s="69"/>
      <c r="R99" s="1"/>
      <c r="S99" s="1"/>
      <c r="T99" s="70" t="b">
        <v>0</v>
      </c>
      <c r="U99" s="1"/>
      <c r="V99" s="1"/>
      <c r="W99" s="1"/>
      <c r="X99" s="71" t="e">
        <f t="array" aca="1" ref="X99" ca="1">_xludf.XLOOKUP(A99,'WER 로그'!A:A,'WER 로그'!I:I,"")</f>
        <v>#NAME?</v>
      </c>
      <c r="Y99" s="70" t="e">
        <f t="array" aca="1" ref="Y99" ca="1">IF(AND(_xludf.XLOOKUP(A99,'5. 납품 전 체크리스트'!A:A,'5. 납품 전 체크리스트'!D:M,"",0)),TRUE,FALSE)</f>
        <v>#NAME?</v>
      </c>
      <c r="Z99" s="1"/>
    </row>
    <row r="100" spans="1:26" ht="22.5" customHeight="1">
      <c r="A100" s="1" t="str">
        <f>'2. 도서 정보'!A101</f>
        <v>SS0099</v>
      </c>
      <c r="B100" s="1" t="e">
        <f t="array" aca="1" ref="B100" ca="1">_xludf.XLOOKUP($A100,도서_정보[ID],도서_정보[도서명],"")</f>
        <v>#NAME?</v>
      </c>
      <c r="C100" s="1" t="e">
        <f t="array" aca="1" ref="C100" ca="1">_xludf.XLOOKUP($A100,도서_정보[ID],도서_정보[작업 페이지],"")</f>
        <v>#NAME?</v>
      </c>
      <c r="D100" s="1" t="e">
        <f t="array" aca="1" ref="D100" ca="1">_xludf.XLOOKUP($A100,도서_정보[ID],도서_정보[난이도],"")</f>
        <v>#NAME?</v>
      </c>
      <c r="E100" s="1" t="e">
        <f t="array" aca="1" ref="E100" ca="1">_xludf.XLOOKUP($A100,도서_정보[ID],도서_정보[추출 방식],"")</f>
        <v>#NAME?</v>
      </c>
      <c r="F100" s="69"/>
      <c r="G100" s="69"/>
      <c r="H100" s="1"/>
      <c r="I100" s="1"/>
      <c r="J100" s="1"/>
      <c r="K100" s="69"/>
      <c r="L100" s="69"/>
      <c r="M100" s="1"/>
      <c r="N100" s="1"/>
      <c r="O100" s="1"/>
      <c r="P100" s="1"/>
      <c r="Q100" s="69"/>
      <c r="R100" s="1"/>
      <c r="S100" s="1"/>
      <c r="T100" s="70" t="b">
        <v>0</v>
      </c>
      <c r="U100" s="1"/>
      <c r="V100" s="1"/>
      <c r="W100" s="1"/>
      <c r="X100" s="71" t="e">
        <f t="array" aca="1" ref="X100" ca="1">_xludf.XLOOKUP(A100,'WER 로그'!A:A,'WER 로그'!I:I,"")</f>
        <v>#NAME?</v>
      </c>
      <c r="Y100" s="70" t="e">
        <f t="array" aca="1" ref="Y100" ca="1">IF(AND(_xludf.XLOOKUP(A100,'5. 납품 전 체크리스트'!A:A,'5. 납품 전 체크리스트'!D:M,"",0)),TRUE,FALSE)</f>
        <v>#NAME?</v>
      </c>
      <c r="Z100" s="1"/>
    </row>
    <row r="101" spans="1:26" ht="22.5" customHeight="1">
      <c r="A101" s="1" t="str">
        <f>'2. 도서 정보'!A102</f>
        <v>SS0100</v>
      </c>
      <c r="B101" s="1" t="e">
        <f t="array" aca="1" ref="B101" ca="1">_xludf.XLOOKUP($A101,도서_정보[ID],도서_정보[도서명],"")</f>
        <v>#NAME?</v>
      </c>
      <c r="C101" s="1" t="e">
        <f t="array" aca="1" ref="C101" ca="1">_xludf.XLOOKUP($A101,도서_정보[ID],도서_정보[작업 페이지],"")</f>
        <v>#NAME?</v>
      </c>
      <c r="D101" s="1" t="e">
        <f t="array" aca="1" ref="D101" ca="1">_xludf.XLOOKUP($A101,도서_정보[ID],도서_정보[난이도],"")</f>
        <v>#NAME?</v>
      </c>
      <c r="E101" s="1" t="e">
        <f t="array" aca="1" ref="E101" ca="1">_xludf.XLOOKUP($A101,도서_정보[ID],도서_정보[추출 방식],"")</f>
        <v>#NAME?</v>
      </c>
      <c r="F101" s="69"/>
      <c r="G101" s="69"/>
      <c r="H101" s="1"/>
      <c r="I101" s="1"/>
      <c r="J101" s="1"/>
      <c r="K101" s="69"/>
      <c r="L101" s="69"/>
      <c r="M101" s="1"/>
      <c r="N101" s="1"/>
      <c r="O101" s="1"/>
      <c r="P101" s="1"/>
      <c r="Q101" s="69"/>
      <c r="R101" s="1"/>
      <c r="S101" s="1"/>
      <c r="T101" s="70" t="b">
        <v>0</v>
      </c>
      <c r="U101" s="1"/>
      <c r="V101" s="1"/>
      <c r="W101" s="1"/>
      <c r="X101" s="71" t="e">
        <f t="array" aca="1" ref="X101" ca="1">_xludf.XLOOKUP(A101,'WER 로그'!A:A,'WER 로그'!I:I,"")</f>
        <v>#NAME?</v>
      </c>
      <c r="Y101" s="70" t="e">
        <f t="array" aca="1" ref="Y101" ca="1">IF(AND(_xludf.XLOOKUP(A101,'5. 납품 전 체크리스트'!A:A,'5. 납품 전 체크리스트'!D:M,"",0)),TRUE,FALSE)</f>
        <v>#NAME?</v>
      </c>
      <c r="Z101" s="1"/>
    </row>
    <row r="102" spans="1:26" ht="22.5" customHeight="1">
      <c r="A102" s="1" t="str">
        <f>'2. 도서 정보'!A103</f>
        <v>SS0101</v>
      </c>
      <c r="B102" s="1" t="e">
        <f t="array" aca="1" ref="B102" ca="1">_xludf.XLOOKUP($A102,도서_정보[ID],도서_정보[도서명],"")</f>
        <v>#NAME?</v>
      </c>
      <c r="C102" s="1" t="e">
        <f t="array" aca="1" ref="C102" ca="1">_xludf.XLOOKUP($A102,도서_정보[ID],도서_정보[작업 페이지],"")</f>
        <v>#NAME?</v>
      </c>
      <c r="D102" s="1" t="e">
        <f t="array" aca="1" ref="D102" ca="1">_xludf.XLOOKUP($A102,도서_정보[ID],도서_정보[난이도],"")</f>
        <v>#NAME?</v>
      </c>
      <c r="E102" s="1" t="e">
        <f t="array" aca="1" ref="E102" ca="1">_xludf.XLOOKUP($A102,도서_정보[ID],도서_정보[추출 방식],"")</f>
        <v>#NAME?</v>
      </c>
      <c r="F102" s="69"/>
      <c r="G102" s="69"/>
      <c r="H102" s="1"/>
      <c r="I102" s="1"/>
      <c r="J102" s="1"/>
      <c r="K102" s="69"/>
      <c r="L102" s="69"/>
      <c r="M102" s="1"/>
      <c r="N102" s="1"/>
      <c r="O102" s="1"/>
      <c r="P102" s="1"/>
      <c r="Q102" s="69"/>
      <c r="R102" s="1"/>
      <c r="S102" s="1"/>
      <c r="T102" s="70" t="b">
        <v>0</v>
      </c>
      <c r="U102" s="1"/>
      <c r="V102" s="1"/>
      <c r="W102" s="1"/>
      <c r="X102" s="71" t="e">
        <f t="array" aca="1" ref="X102" ca="1">_xludf.XLOOKUP(A102,'WER 로그'!A:A,'WER 로그'!I:I,"")</f>
        <v>#NAME?</v>
      </c>
      <c r="Y102" s="70" t="e">
        <f t="array" aca="1" ref="Y102" ca="1">IF(AND(_xludf.XLOOKUP(A102,'5. 납품 전 체크리스트'!A:A,'5. 납품 전 체크리스트'!D:M,"",0)),TRUE,FALSE)</f>
        <v>#NAME?</v>
      </c>
      <c r="Z102" s="1"/>
    </row>
    <row r="103" spans="1:26" ht="22.5" customHeight="1">
      <c r="A103" s="1" t="str">
        <f>'2. 도서 정보'!A104</f>
        <v>SS0102</v>
      </c>
      <c r="B103" s="1" t="e">
        <f t="array" aca="1" ref="B103" ca="1">_xludf.XLOOKUP($A103,도서_정보[ID],도서_정보[도서명],"")</f>
        <v>#NAME?</v>
      </c>
      <c r="C103" s="1" t="e">
        <f t="array" aca="1" ref="C103" ca="1">_xludf.XLOOKUP($A103,도서_정보[ID],도서_정보[작업 페이지],"")</f>
        <v>#NAME?</v>
      </c>
      <c r="D103" s="1" t="e">
        <f t="array" aca="1" ref="D103" ca="1">_xludf.XLOOKUP($A103,도서_정보[ID],도서_정보[난이도],"")</f>
        <v>#NAME?</v>
      </c>
      <c r="E103" s="1" t="e">
        <f t="array" aca="1" ref="E103" ca="1">_xludf.XLOOKUP($A103,도서_정보[ID],도서_정보[추출 방식],"")</f>
        <v>#NAME?</v>
      </c>
      <c r="F103" s="69"/>
      <c r="G103" s="69"/>
      <c r="H103" s="1"/>
      <c r="I103" s="1"/>
      <c r="J103" s="1"/>
      <c r="K103" s="69"/>
      <c r="L103" s="69"/>
      <c r="M103" s="1"/>
      <c r="N103" s="1"/>
      <c r="O103" s="1"/>
      <c r="P103" s="1"/>
      <c r="Q103" s="69"/>
      <c r="R103" s="1"/>
      <c r="S103" s="1"/>
      <c r="T103" s="70" t="b">
        <v>0</v>
      </c>
      <c r="U103" s="1"/>
      <c r="V103" s="1"/>
      <c r="W103" s="1"/>
      <c r="X103" s="71" t="e">
        <f t="array" aca="1" ref="X103" ca="1">_xludf.XLOOKUP(A103,'WER 로그'!A:A,'WER 로그'!I:I,"")</f>
        <v>#NAME?</v>
      </c>
      <c r="Y103" s="70" t="e">
        <f t="array" aca="1" ref="Y103" ca="1">IF(AND(_xludf.XLOOKUP(A103,'5. 납품 전 체크리스트'!A:A,'5. 납품 전 체크리스트'!D:M,"",0)),TRUE,FALSE)</f>
        <v>#NAME?</v>
      </c>
      <c r="Z103" s="1"/>
    </row>
    <row r="104" spans="1:26" ht="22.5" customHeight="1">
      <c r="A104" s="1" t="str">
        <f>'2. 도서 정보'!A105</f>
        <v>SS0103</v>
      </c>
      <c r="B104" s="1" t="e">
        <f t="array" aca="1" ref="B104" ca="1">_xludf.XLOOKUP($A104,도서_정보[ID],도서_정보[도서명],"")</f>
        <v>#NAME?</v>
      </c>
      <c r="C104" s="1" t="e">
        <f t="array" aca="1" ref="C104" ca="1">_xludf.XLOOKUP($A104,도서_정보[ID],도서_정보[작업 페이지],"")</f>
        <v>#NAME?</v>
      </c>
      <c r="D104" s="1" t="e">
        <f t="array" aca="1" ref="D104" ca="1">_xludf.XLOOKUP($A104,도서_정보[ID],도서_정보[난이도],"")</f>
        <v>#NAME?</v>
      </c>
      <c r="E104" s="1" t="e">
        <f t="array" aca="1" ref="E104" ca="1">_xludf.XLOOKUP($A104,도서_정보[ID],도서_정보[추출 방식],"")</f>
        <v>#NAME?</v>
      </c>
      <c r="F104" s="69"/>
      <c r="G104" s="69"/>
      <c r="H104" s="1"/>
      <c r="I104" s="1"/>
      <c r="J104" s="1"/>
      <c r="K104" s="69"/>
      <c r="L104" s="69"/>
      <c r="M104" s="1"/>
      <c r="N104" s="1"/>
      <c r="O104" s="1"/>
      <c r="P104" s="1"/>
      <c r="Q104" s="69"/>
      <c r="R104" s="1"/>
      <c r="S104" s="1"/>
      <c r="T104" s="70" t="b">
        <v>0</v>
      </c>
      <c r="U104" s="1"/>
      <c r="V104" s="1"/>
      <c r="W104" s="1"/>
      <c r="X104" s="71" t="e">
        <f t="array" aca="1" ref="X104" ca="1">_xludf.XLOOKUP(A104,'WER 로그'!A:A,'WER 로그'!I:I,"")</f>
        <v>#NAME?</v>
      </c>
      <c r="Y104" s="70" t="e">
        <f t="array" aca="1" ref="Y104" ca="1">IF(AND(_xludf.XLOOKUP(A104,'5. 납품 전 체크리스트'!A:A,'5. 납품 전 체크리스트'!D:M,"",0)),TRUE,FALSE)</f>
        <v>#NAME?</v>
      </c>
      <c r="Z104" s="1"/>
    </row>
    <row r="105" spans="1:26" ht="22.5" customHeight="1">
      <c r="A105" s="1" t="str">
        <f>'2. 도서 정보'!A106</f>
        <v>SS0104</v>
      </c>
      <c r="B105" s="1" t="e">
        <f t="array" aca="1" ref="B105" ca="1">_xludf.XLOOKUP($A105,도서_정보[ID],도서_정보[도서명],"")</f>
        <v>#NAME?</v>
      </c>
      <c r="C105" s="1" t="e">
        <f t="array" aca="1" ref="C105" ca="1">_xludf.XLOOKUP($A105,도서_정보[ID],도서_정보[작업 페이지],"")</f>
        <v>#NAME?</v>
      </c>
      <c r="D105" s="1" t="e">
        <f t="array" aca="1" ref="D105" ca="1">_xludf.XLOOKUP($A105,도서_정보[ID],도서_정보[난이도],"")</f>
        <v>#NAME?</v>
      </c>
      <c r="E105" s="1" t="e">
        <f t="array" aca="1" ref="E105" ca="1">_xludf.XLOOKUP($A105,도서_정보[ID],도서_정보[추출 방식],"")</f>
        <v>#NAME?</v>
      </c>
      <c r="F105" s="69"/>
      <c r="G105" s="69"/>
      <c r="H105" s="1"/>
      <c r="I105" s="1"/>
      <c r="J105" s="1"/>
      <c r="K105" s="69"/>
      <c r="L105" s="69"/>
      <c r="M105" s="1"/>
      <c r="N105" s="1"/>
      <c r="O105" s="1"/>
      <c r="P105" s="1"/>
      <c r="Q105" s="69"/>
      <c r="R105" s="1"/>
      <c r="S105" s="1"/>
      <c r="T105" s="70" t="b">
        <v>0</v>
      </c>
      <c r="U105" s="1"/>
      <c r="V105" s="1"/>
      <c r="W105" s="1"/>
      <c r="X105" s="71" t="e">
        <f t="array" aca="1" ref="X105" ca="1">_xludf.XLOOKUP(A105,'WER 로그'!A:A,'WER 로그'!I:I,"")</f>
        <v>#NAME?</v>
      </c>
      <c r="Y105" s="70" t="e">
        <f t="array" aca="1" ref="Y105" ca="1">IF(AND(_xludf.XLOOKUP(A105,'5. 납품 전 체크리스트'!A:A,'5. 납품 전 체크리스트'!D:M,"",0)),TRUE,FALSE)</f>
        <v>#NAME?</v>
      </c>
      <c r="Z105" s="1"/>
    </row>
    <row r="106" spans="1:26" ht="22.5" customHeight="1">
      <c r="A106" s="1" t="str">
        <f>'2. 도서 정보'!A107</f>
        <v>SS0105</v>
      </c>
      <c r="B106" s="1" t="e">
        <f t="array" aca="1" ref="B106" ca="1">_xludf.XLOOKUP($A106,도서_정보[ID],도서_정보[도서명],"")</f>
        <v>#NAME?</v>
      </c>
      <c r="C106" s="1" t="e">
        <f t="array" aca="1" ref="C106" ca="1">_xludf.XLOOKUP($A106,도서_정보[ID],도서_정보[작업 페이지],"")</f>
        <v>#NAME?</v>
      </c>
      <c r="D106" s="1" t="e">
        <f t="array" aca="1" ref="D106" ca="1">_xludf.XLOOKUP($A106,도서_정보[ID],도서_정보[난이도],"")</f>
        <v>#NAME?</v>
      </c>
      <c r="E106" s="1" t="e">
        <f t="array" aca="1" ref="E106" ca="1">_xludf.XLOOKUP($A106,도서_정보[ID],도서_정보[추출 방식],"")</f>
        <v>#NAME?</v>
      </c>
      <c r="F106" s="69"/>
      <c r="G106" s="69"/>
      <c r="H106" s="1"/>
      <c r="I106" s="1"/>
      <c r="J106" s="1"/>
      <c r="K106" s="69"/>
      <c r="L106" s="69"/>
      <c r="M106" s="1"/>
      <c r="N106" s="1"/>
      <c r="O106" s="1"/>
      <c r="P106" s="1"/>
      <c r="Q106" s="69"/>
      <c r="R106" s="1"/>
      <c r="S106" s="1"/>
      <c r="T106" s="70" t="b">
        <v>0</v>
      </c>
      <c r="U106" s="1"/>
      <c r="V106" s="1"/>
      <c r="W106" s="1"/>
      <c r="X106" s="71" t="e">
        <f t="array" aca="1" ref="X106" ca="1">_xludf.XLOOKUP(A106,'WER 로그'!A:A,'WER 로그'!I:I,"")</f>
        <v>#NAME?</v>
      </c>
      <c r="Y106" s="70" t="e">
        <f t="array" aca="1" ref="Y106" ca="1">IF(AND(_xludf.XLOOKUP(A106,'5. 납품 전 체크리스트'!A:A,'5. 납품 전 체크리스트'!D:M,"",0)),TRUE,FALSE)</f>
        <v>#NAME?</v>
      </c>
      <c r="Z106" s="1"/>
    </row>
    <row r="107" spans="1:26" ht="22.5" customHeight="1">
      <c r="A107" s="1" t="str">
        <f>'2. 도서 정보'!A108</f>
        <v>SS0106</v>
      </c>
      <c r="B107" s="1" t="e">
        <f t="array" aca="1" ref="B107" ca="1">_xludf.XLOOKUP($A107,도서_정보[ID],도서_정보[도서명],"")</f>
        <v>#NAME?</v>
      </c>
      <c r="C107" s="1" t="e">
        <f t="array" aca="1" ref="C107" ca="1">_xludf.XLOOKUP($A107,도서_정보[ID],도서_정보[작업 페이지],"")</f>
        <v>#NAME?</v>
      </c>
      <c r="D107" s="1" t="e">
        <f t="array" aca="1" ref="D107" ca="1">_xludf.XLOOKUP($A107,도서_정보[ID],도서_정보[난이도],"")</f>
        <v>#NAME?</v>
      </c>
      <c r="E107" s="1" t="e">
        <f t="array" aca="1" ref="E107" ca="1">_xludf.XLOOKUP($A107,도서_정보[ID],도서_정보[추출 방식],"")</f>
        <v>#NAME?</v>
      </c>
      <c r="F107" s="69"/>
      <c r="G107" s="69"/>
      <c r="H107" s="1"/>
      <c r="I107" s="1"/>
      <c r="J107" s="1"/>
      <c r="K107" s="69"/>
      <c r="L107" s="69"/>
      <c r="M107" s="1"/>
      <c r="N107" s="1"/>
      <c r="O107" s="1"/>
      <c r="P107" s="1"/>
      <c r="Q107" s="69"/>
      <c r="R107" s="1"/>
      <c r="S107" s="1"/>
      <c r="T107" s="70" t="b">
        <v>0</v>
      </c>
      <c r="U107" s="1"/>
      <c r="V107" s="1"/>
      <c r="W107" s="1"/>
      <c r="X107" s="71" t="e">
        <f t="array" aca="1" ref="X107" ca="1">_xludf.XLOOKUP(A107,'WER 로그'!A:A,'WER 로그'!I:I,"")</f>
        <v>#NAME?</v>
      </c>
      <c r="Y107" s="70" t="e">
        <f t="array" aca="1" ref="Y107" ca="1">IF(AND(_xludf.XLOOKUP(A107,'5. 납품 전 체크리스트'!A:A,'5. 납품 전 체크리스트'!D:M,"",0)),TRUE,FALSE)</f>
        <v>#NAME?</v>
      </c>
      <c r="Z107" s="1"/>
    </row>
    <row r="108" spans="1:26" ht="22.5" customHeight="1">
      <c r="A108" s="1" t="str">
        <f>'2. 도서 정보'!A109</f>
        <v>SS0107</v>
      </c>
      <c r="B108" s="1" t="e">
        <f t="array" aca="1" ref="B108" ca="1">_xludf.XLOOKUP($A108,도서_정보[ID],도서_정보[도서명],"")</f>
        <v>#NAME?</v>
      </c>
      <c r="C108" s="1" t="e">
        <f t="array" aca="1" ref="C108" ca="1">_xludf.XLOOKUP($A108,도서_정보[ID],도서_정보[작업 페이지],"")</f>
        <v>#NAME?</v>
      </c>
      <c r="D108" s="1" t="e">
        <f t="array" aca="1" ref="D108" ca="1">_xludf.XLOOKUP($A108,도서_정보[ID],도서_정보[난이도],"")</f>
        <v>#NAME?</v>
      </c>
      <c r="E108" s="1" t="e">
        <f t="array" aca="1" ref="E108" ca="1">_xludf.XLOOKUP($A108,도서_정보[ID],도서_정보[추출 방식],"")</f>
        <v>#NAME?</v>
      </c>
      <c r="F108" s="69"/>
      <c r="G108" s="69"/>
      <c r="H108" s="1"/>
      <c r="I108" s="1"/>
      <c r="J108" s="1"/>
      <c r="K108" s="69"/>
      <c r="L108" s="69"/>
      <c r="M108" s="1"/>
      <c r="N108" s="1"/>
      <c r="O108" s="1"/>
      <c r="P108" s="1"/>
      <c r="Q108" s="69"/>
      <c r="R108" s="1"/>
      <c r="S108" s="1"/>
      <c r="T108" s="70" t="b">
        <v>0</v>
      </c>
      <c r="U108" s="1"/>
      <c r="V108" s="1"/>
      <c r="W108" s="1"/>
      <c r="X108" s="71" t="e">
        <f t="array" aca="1" ref="X108" ca="1">_xludf.XLOOKUP(A108,'WER 로그'!A:A,'WER 로그'!I:I,"")</f>
        <v>#NAME?</v>
      </c>
      <c r="Y108" s="70" t="e">
        <f t="array" aca="1" ref="Y108" ca="1">IF(AND(_xludf.XLOOKUP(A108,'5. 납품 전 체크리스트'!A:A,'5. 납품 전 체크리스트'!D:M,"",0)),TRUE,FALSE)</f>
        <v>#NAME?</v>
      </c>
      <c r="Z108" s="1"/>
    </row>
  </sheetData>
  <phoneticPr fontId="43" type="noConversion"/>
  <dataValidations count="5">
    <dataValidation type="list" allowBlank="1" sqref="S2:S108" xr:uid="{00000000-0002-0000-0400-000000000000}">
      <formula1>"업로드X,폴더이름1,폴더이름2,폴더이름3"</formula1>
    </dataValidation>
    <dataValidation type="list" allowBlank="1" sqref="D2:D108" xr:uid="{00000000-0002-0000-0400-000001000000}">
      <formula1>"SS,A,B,C"</formula1>
    </dataValidation>
    <dataValidation type="custom" allowBlank="1" showDropDown="1" sqref="F2:G108 K2:L108 P2:Q108" xr:uid="{00000000-0002-0000-0400-000002000000}">
      <formula1>OR(NOT(ISERROR(DATEVALUE(F2))), AND(ISNUMBER(F2), LEFT(CELL("format", F2))="D"))</formula1>
    </dataValidation>
    <dataValidation type="custom" allowBlank="1" showDropDown="1" sqref="C2:C108 X2:X108" xr:uid="{00000000-0002-0000-0400-000003000000}">
      <formula1>AND(ISNUMBER(C2),(NOT(OR(NOT(ISERROR(DATEVALUE(C2))), AND(ISNUMBER(C2), LEFT(CELL("format", C2))="D")))))</formula1>
    </dataValidation>
    <dataValidation type="list" allowBlank="1" sqref="E2:E108 H2:J108 M2:O108 R2:R108 U2:W108 Z2:Z108" xr:uid="{00000000-0002-0000-0400-000004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5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.75" customHeight="1"/>
  <cols>
    <col min="1" max="1" width="15.5" hidden="1" customWidth="1"/>
    <col min="2" max="2" width="15.5" customWidth="1"/>
    <col min="3" max="3" width="15.375" customWidth="1"/>
    <col min="4" max="4" width="20.125" customWidth="1"/>
    <col min="5" max="10" width="13.5" customWidth="1"/>
    <col min="11" max="11" width="15.375" customWidth="1"/>
    <col min="12" max="12" width="13.5" customWidth="1"/>
    <col min="13" max="13" width="25.625" customWidth="1"/>
    <col min="17" max="17" width="20.125" customWidth="1"/>
    <col min="18" max="18" width="13" customWidth="1"/>
    <col min="19" max="19" width="15" customWidth="1"/>
    <col min="20" max="20" width="12.5" customWidth="1"/>
    <col min="21" max="21" width="25.625" customWidth="1"/>
  </cols>
  <sheetData>
    <row r="1" spans="1:21" ht="22.5" customHeight="1">
      <c r="A1" s="66" t="s">
        <v>293</v>
      </c>
      <c r="B1" s="66" t="s">
        <v>294</v>
      </c>
      <c r="C1" s="66" t="s">
        <v>295</v>
      </c>
      <c r="D1" s="66" t="s">
        <v>296</v>
      </c>
      <c r="E1" s="66" t="s">
        <v>297</v>
      </c>
      <c r="F1" s="66" t="s">
        <v>298</v>
      </c>
      <c r="G1" s="66" t="s">
        <v>299</v>
      </c>
      <c r="H1" s="66" t="s">
        <v>103</v>
      </c>
      <c r="I1" s="66" t="s">
        <v>300</v>
      </c>
      <c r="J1" s="68" t="s">
        <v>301</v>
      </c>
      <c r="K1" s="66" t="s">
        <v>302</v>
      </c>
      <c r="L1" s="66" t="s">
        <v>303</v>
      </c>
      <c r="M1" s="66" t="s">
        <v>285</v>
      </c>
      <c r="O1" s="66" t="s">
        <v>294</v>
      </c>
      <c r="P1" s="66" t="s">
        <v>296</v>
      </c>
      <c r="Q1" s="66" t="s">
        <v>295</v>
      </c>
      <c r="R1" s="68" t="s">
        <v>304</v>
      </c>
      <c r="S1" s="66" t="s">
        <v>302</v>
      </c>
      <c r="T1" s="66" t="s">
        <v>305</v>
      </c>
      <c r="U1" s="66" t="s">
        <v>285</v>
      </c>
    </row>
    <row r="2" spans="1:21" ht="22.5" customHeight="1">
      <c r="A2" s="72" t="str">
        <f t="shared" ref="A2:A15" si="0">CONCATENATE(B2,"(",C2,")")</f>
        <v>작업자1(abc)</v>
      </c>
      <c r="B2" s="72" t="s">
        <v>306</v>
      </c>
      <c r="C2" s="72" t="s">
        <v>307</v>
      </c>
      <c r="D2" s="72"/>
      <c r="E2" s="1"/>
      <c r="F2" s="1"/>
      <c r="G2" s="1"/>
      <c r="H2" s="1"/>
      <c r="I2" s="1"/>
      <c r="J2" s="1"/>
      <c r="K2" s="68">
        <v>0</v>
      </c>
      <c r="L2" s="68">
        <v>0</v>
      </c>
      <c r="M2" s="1"/>
      <c r="O2" s="72"/>
      <c r="P2" s="72"/>
      <c r="Q2" s="72"/>
      <c r="R2" s="1"/>
      <c r="S2" s="68">
        <v>0</v>
      </c>
      <c r="T2" s="68">
        <v>0</v>
      </c>
      <c r="U2" s="1"/>
    </row>
    <row r="3" spans="1:21" ht="22.5" customHeight="1">
      <c r="A3" s="72" t="str">
        <f t="shared" si="0"/>
        <v>작업자2(pmadmin162)</v>
      </c>
      <c r="B3" s="72" t="s">
        <v>308</v>
      </c>
      <c r="C3" s="72" t="s">
        <v>309</v>
      </c>
      <c r="D3" s="72"/>
      <c r="E3" s="1"/>
      <c r="F3" s="1"/>
      <c r="G3" s="1"/>
      <c r="H3" s="1"/>
      <c r="I3" s="1"/>
      <c r="J3" s="1"/>
      <c r="K3" s="68">
        <v>0</v>
      </c>
      <c r="L3" s="68">
        <v>0</v>
      </c>
      <c r="M3" s="1"/>
      <c r="O3" s="72"/>
      <c r="P3" s="72"/>
      <c r="Q3" s="72"/>
      <c r="R3" s="1"/>
      <c r="S3" s="68">
        <v>0</v>
      </c>
      <c r="T3" s="68">
        <v>0</v>
      </c>
      <c r="U3" s="1"/>
    </row>
    <row r="4" spans="1:21" ht="22.5" customHeight="1">
      <c r="A4" s="72" t="str">
        <f t="shared" si="0"/>
        <v>()</v>
      </c>
      <c r="B4" s="72"/>
      <c r="C4" s="72"/>
      <c r="D4" s="72"/>
      <c r="E4" s="1"/>
      <c r="F4" s="1"/>
      <c r="G4" s="1"/>
      <c r="H4" s="1"/>
      <c r="I4" s="1"/>
      <c r="J4" s="1"/>
      <c r="K4" s="68">
        <v>0</v>
      </c>
      <c r="L4" s="68">
        <v>0</v>
      </c>
      <c r="M4" s="1"/>
      <c r="O4" s="72"/>
      <c r="P4" s="72"/>
      <c r="Q4" s="72"/>
      <c r="R4" s="1"/>
      <c r="S4" s="68">
        <v>0</v>
      </c>
      <c r="T4" s="68">
        <v>0</v>
      </c>
      <c r="U4" s="1"/>
    </row>
    <row r="5" spans="1:21" ht="22.5" customHeight="1">
      <c r="A5" s="72" t="str">
        <f t="shared" si="0"/>
        <v>()</v>
      </c>
      <c r="B5" s="72"/>
      <c r="C5" s="72"/>
      <c r="D5" s="72"/>
      <c r="E5" s="1"/>
      <c r="F5" s="1"/>
      <c r="G5" s="1"/>
      <c r="H5" s="1"/>
      <c r="I5" s="1"/>
      <c r="J5" s="1"/>
      <c r="K5" s="68">
        <v>0</v>
      </c>
      <c r="L5" s="68">
        <v>0</v>
      </c>
      <c r="M5" s="1"/>
      <c r="O5" s="72"/>
      <c r="P5" s="72"/>
      <c r="Q5" s="72"/>
      <c r="R5" s="1"/>
      <c r="S5" s="68">
        <v>0</v>
      </c>
      <c r="T5" s="68">
        <v>0</v>
      </c>
      <c r="U5" s="1"/>
    </row>
    <row r="6" spans="1:21" ht="22.5" customHeight="1">
      <c r="A6" s="72" t="str">
        <f t="shared" si="0"/>
        <v>()</v>
      </c>
      <c r="B6" s="72"/>
      <c r="C6" s="72"/>
      <c r="D6" s="72"/>
      <c r="E6" s="1"/>
      <c r="F6" s="1"/>
      <c r="G6" s="1"/>
      <c r="H6" s="1"/>
      <c r="I6" s="1"/>
      <c r="J6" s="1"/>
      <c r="K6" s="68">
        <v>0</v>
      </c>
      <c r="L6" s="68">
        <v>0</v>
      </c>
      <c r="M6" s="1"/>
      <c r="O6" s="72"/>
      <c r="P6" s="72"/>
      <c r="Q6" s="72"/>
      <c r="R6" s="1"/>
      <c r="S6" s="68">
        <v>0</v>
      </c>
      <c r="T6" s="68">
        <v>0</v>
      </c>
      <c r="U6" s="1"/>
    </row>
    <row r="7" spans="1:21" ht="22.5" customHeight="1">
      <c r="A7" s="72" t="str">
        <f t="shared" si="0"/>
        <v>()</v>
      </c>
      <c r="B7" s="72"/>
      <c r="C7" s="72"/>
      <c r="D7" s="72"/>
      <c r="E7" s="1"/>
      <c r="F7" s="1"/>
      <c r="G7" s="1"/>
      <c r="H7" s="1"/>
      <c r="I7" s="1"/>
      <c r="J7" s="1"/>
      <c r="K7" s="68">
        <v>0</v>
      </c>
      <c r="L7" s="68">
        <v>0</v>
      </c>
      <c r="M7" s="1"/>
      <c r="O7" s="72"/>
      <c r="P7" s="72"/>
      <c r="Q7" s="72"/>
      <c r="R7" s="1"/>
      <c r="S7" s="68">
        <v>0</v>
      </c>
      <c r="T7" s="68">
        <v>0</v>
      </c>
      <c r="U7" s="1"/>
    </row>
    <row r="8" spans="1:21" ht="22.5" customHeight="1">
      <c r="A8" s="72" t="str">
        <f t="shared" si="0"/>
        <v>()</v>
      </c>
      <c r="B8" s="72"/>
      <c r="C8" s="72"/>
      <c r="D8" s="72"/>
      <c r="E8" s="1"/>
      <c r="F8" s="1"/>
      <c r="G8" s="1"/>
      <c r="H8" s="1"/>
      <c r="I8" s="1"/>
      <c r="J8" s="1"/>
      <c r="K8" s="68">
        <v>0</v>
      </c>
      <c r="L8" s="68">
        <v>0</v>
      </c>
      <c r="M8" s="1"/>
      <c r="O8" s="72"/>
      <c r="P8" s="72"/>
      <c r="Q8" s="72"/>
      <c r="R8" s="1"/>
      <c r="S8" s="68">
        <v>0</v>
      </c>
      <c r="T8" s="68">
        <v>0</v>
      </c>
      <c r="U8" s="1"/>
    </row>
    <row r="9" spans="1:21" ht="22.5" customHeight="1">
      <c r="A9" s="72" t="str">
        <f t="shared" si="0"/>
        <v>()</v>
      </c>
      <c r="B9" s="72"/>
      <c r="C9" s="72"/>
      <c r="D9" s="72"/>
      <c r="E9" s="1"/>
      <c r="F9" s="1"/>
      <c r="G9" s="1"/>
      <c r="H9" s="1"/>
      <c r="I9" s="1"/>
      <c r="J9" s="1"/>
      <c r="K9" s="68">
        <v>0</v>
      </c>
      <c r="L9" s="68">
        <v>0</v>
      </c>
      <c r="M9" s="1"/>
      <c r="O9" s="72"/>
      <c r="P9" s="72"/>
      <c r="Q9" s="72"/>
      <c r="R9" s="1"/>
      <c r="S9" s="68">
        <v>0</v>
      </c>
      <c r="T9" s="68">
        <v>0</v>
      </c>
      <c r="U9" s="1"/>
    </row>
    <row r="10" spans="1:21" ht="22.5" customHeight="1">
      <c r="A10" s="72" t="str">
        <f t="shared" si="0"/>
        <v>()</v>
      </c>
      <c r="B10" s="72"/>
      <c r="C10" s="72"/>
      <c r="D10" s="72"/>
      <c r="E10" s="1"/>
      <c r="F10" s="1"/>
      <c r="G10" s="1"/>
      <c r="H10" s="1"/>
      <c r="I10" s="1"/>
      <c r="J10" s="1"/>
      <c r="K10" s="68">
        <v>0</v>
      </c>
      <c r="L10" s="68">
        <v>0</v>
      </c>
      <c r="M10" s="1"/>
      <c r="O10" s="72"/>
      <c r="P10" s="72"/>
      <c r="Q10" s="72"/>
      <c r="R10" s="1"/>
      <c r="S10" s="68">
        <v>0</v>
      </c>
      <c r="T10" s="68">
        <v>0</v>
      </c>
      <c r="U10" s="1"/>
    </row>
    <row r="11" spans="1:21" ht="22.5" customHeight="1">
      <c r="A11" s="72" t="str">
        <f t="shared" si="0"/>
        <v>()</v>
      </c>
      <c r="B11" s="72"/>
      <c r="C11" s="72"/>
      <c r="D11" s="72"/>
      <c r="E11" s="1"/>
      <c r="F11" s="1"/>
      <c r="G11" s="1"/>
      <c r="H11" s="1"/>
      <c r="I11" s="1"/>
      <c r="J11" s="1"/>
      <c r="K11" s="68">
        <v>0</v>
      </c>
      <c r="L11" s="68">
        <v>0</v>
      </c>
      <c r="M11" s="1"/>
      <c r="O11" s="72"/>
      <c r="P11" s="72"/>
      <c r="Q11" s="72"/>
      <c r="R11" s="1"/>
      <c r="S11" s="68">
        <v>0</v>
      </c>
      <c r="T11" s="68">
        <v>0</v>
      </c>
      <c r="U11" s="1"/>
    </row>
    <row r="12" spans="1:21" ht="22.5" customHeight="1">
      <c r="A12" s="72" t="str">
        <f t="shared" si="0"/>
        <v>()</v>
      </c>
      <c r="B12" s="72"/>
      <c r="C12" s="72"/>
      <c r="D12" s="72"/>
      <c r="E12" s="1"/>
      <c r="F12" s="1"/>
      <c r="G12" s="1"/>
      <c r="H12" s="1"/>
      <c r="I12" s="1"/>
      <c r="J12" s="1"/>
      <c r="K12" s="68">
        <v>0</v>
      </c>
      <c r="L12" s="68">
        <v>0</v>
      </c>
      <c r="M12" s="1"/>
      <c r="O12" s="72"/>
      <c r="P12" s="72"/>
      <c r="Q12" s="72"/>
      <c r="R12" s="1"/>
      <c r="S12" s="68">
        <v>0</v>
      </c>
      <c r="T12" s="68">
        <v>0</v>
      </c>
      <c r="U12" s="1"/>
    </row>
    <row r="13" spans="1:21" ht="22.5" customHeight="1">
      <c r="A13" s="72" t="str">
        <f t="shared" si="0"/>
        <v>()</v>
      </c>
      <c r="B13" s="72"/>
      <c r="C13" s="72"/>
      <c r="D13" s="72"/>
      <c r="E13" s="1"/>
      <c r="F13" s="1"/>
      <c r="G13" s="1"/>
      <c r="H13" s="1"/>
      <c r="I13" s="1"/>
      <c r="J13" s="1"/>
      <c r="K13" s="68">
        <v>0</v>
      </c>
      <c r="L13" s="68">
        <v>0</v>
      </c>
      <c r="M13" s="1"/>
      <c r="O13" s="72"/>
      <c r="P13" s="72"/>
      <c r="Q13" s="72"/>
      <c r="R13" s="1"/>
      <c r="S13" s="68">
        <v>0</v>
      </c>
      <c r="T13" s="68">
        <v>0</v>
      </c>
      <c r="U13" s="1"/>
    </row>
    <row r="14" spans="1:21" ht="22.5" customHeight="1">
      <c r="A14" s="72" t="str">
        <f t="shared" si="0"/>
        <v>()</v>
      </c>
      <c r="B14" s="72"/>
      <c r="C14" s="72"/>
      <c r="D14" s="72"/>
      <c r="E14" s="1"/>
      <c r="F14" s="1"/>
      <c r="G14" s="1"/>
      <c r="H14" s="1"/>
      <c r="I14" s="1"/>
      <c r="J14" s="1"/>
      <c r="K14" s="68">
        <v>0</v>
      </c>
      <c r="L14" s="68">
        <v>0</v>
      </c>
      <c r="M14" s="1"/>
      <c r="O14" s="72"/>
      <c r="P14" s="72"/>
      <c r="Q14" s="72"/>
      <c r="R14" s="1"/>
      <c r="S14" s="68">
        <v>0</v>
      </c>
      <c r="T14" s="68">
        <v>0</v>
      </c>
      <c r="U14" s="1"/>
    </row>
    <row r="15" spans="1:21" ht="22.5" customHeight="1">
      <c r="A15" s="72" t="str">
        <f t="shared" si="0"/>
        <v>()</v>
      </c>
      <c r="B15" s="72"/>
      <c r="C15" s="72"/>
      <c r="D15" s="72"/>
      <c r="E15" s="1"/>
      <c r="F15" s="1"/>
      <c r="G15" s="1"/>
      <c r="H15" s="1"/>
      <c r="I15" s="1"/>
      <c r="J15" s="1"/>
      <c r="K15" s="68">
        <v>0</v>
      </c>
      <c r="L15" s="68">
        <v>0</v>
      </c>
      <c r="M15" s="1"/>
      <c r="O15" s="72"/>
      <c r="P15" s="72"/>
      <c r="Q15" s="72"/>
      <c r="R15" s="1"/>
      <c r="S15" s="68">
        <v>0</v>
      </c>
      <c r="T15" s="68">
        <v>0</v>
      </c>
      <c r="U15" s="1"/>
    </row>
  </sheetData>
  <phoneticPr fontId="43" type="noConversion"/>
  <dataValidations count="4">
    <dataValidation type="list" allowBlank="1" showErrorMessage="1" sqref="S2:T15 K2:L15" xr:uid="{00000000-0002-0000-0500-000000000000}">
      <formula1>"0,1,2,3,4,5"</formula1>
    </dataValidation>
    <dataValidation allowBlank="1" showDropDown="1" sqref="O2:Q15 B2:D15" xr:uid="{00000000-0002-0000-0500-000001000000}"/>
    <dataValidation type="custom" allowBlank="1" showDropDown="1" sqref="I2:J15" xr:uid="{00000000-0002-0000-0500-000002000000}">
      <formula1>AND(ISNUMBER(I2),(NOT(OR(NOT(ISERROR(DATEVALUE(I2))), AND(ISNUMBER(I2), LEFT(CELL("format", I2))="D")))))</formula1>
    </dataValidation>
    <dataValidation type="list" allowBlank="1" sqref="F2:F15" xr:uid="{00000000-0002-0000-0500-000003000000}">
      <formula1>"BBOX,OCR"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6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25" defaultRowHeight="15.75" customHeight="1"/>
  <cols>
    <col min="1" max="3" width="20.125" customWidth="1"/>
    <col min="4" max="4" width="13.5" customWidth="1"/>
    <col min="5" max="5" width="15.375" customWidth="1"/>
    <col min="6" max="6" width="16.625" customWidth="1"/>
    <col min="7" max="7" width="18" customWidth="1"/>
    <col min="8" max="8" width="15" customWidth="1"/>
    <col min="9" max="9" width="10.5" customWidth="1"/>
    <col min="10" max="10" width="16.375" customWidth="1"/>
    <col min="11" max="11" width="16.625" customWidth="1"/>
    <col min="12" max="12" width="15" customWidth="1"/>
    <col min="13" max="13" width="18" customWidth="1"/>
    <col min="14" max="14" width="13.5" customWidth="1"/>
    <col min="15" max="15" width="33.625" customWidth="1"/>
  </cols>
  <sheetData>
    <row r="1" spans="1:15" ht="22.5" customHeight="1">
      <c r="A1" s="66" t="s">
        <v>95</v>
      </c>
      <c r="B1" s="66" t="s">
        <v>96</v>
      </c>
      <c r="C1" s="66" t="s">
        <v>106</v>
      </c>
      <c r="D1" s="66" t="s">
        <v>310</v>
      </c>
      <c r="E1" s="66" t="s">
        <v>311</v>
      </c>
      <c r="F1" s="73" t="s">
        <v>312</v>
      </c>
      <c r="G1" s="68" t="s">
        <v>313</v>
      </c>
      <c r="H1" s="66" t="s">
        <v>314</v>
      </c>
      <c r="I1" s="74" t="s">
        <v>315</v>
      </c>
      <c r="J1" s="66" t="s">
        <v>316</v>
      </c>
      <c r="K1" s="73" t="s">
        <v>317</v>
      </c>
      <c r="L1" s="66" t="s">
        <v>318</v>
      </c>
      <c r="M1" s="66" t="s">
        <v>319</v>
      </c>
      <c r="N1" s="68" t="s">
        <v>284</v>
      </c>
      <c r="O1" s="68" t="s">
        <v>127</v>
      </c>
    </row>
    <row r="2" spans="1:15" ht="22.5" customHeight="1">
      <c r="A2" s="1" t="str">
        <f ca="1">IFERROR(__xludf.DUMMYFUNCTION("filter(도서_정보[ID], len(도서_정보[ID]))"),"SS0001")</f>
        <v>SS0001</v>
      </c>
      <c r="B2" s="1" t="e">
        <f t="array" aca="1" ref="B2" ca="1">_xludf.XLOOKUP(A2, 도서_정보[ID], 도서_정보[도서명], "")</f>
        <v>#NAME?</v>
      </c>
      <c r="C2" s="1" t="e">
        <f t="array" aca="1" ref="C2" ca="1">_xludf.XLOOKUP(A2, 도서_정보[ID], 도서_정보[작업 페이지], "")</f>
        <v>#NAME?</v>
      </c>
      <c r="D2" s="70" t="b">
        <v>0</v>
      </c>
      <c r="E2" s="70" t="b">
        <v>0</v>
      </c>
      <c r="F2" s="75" t="b">
        <v>0</v>
      </c>
      <c r="G2" s="70" t="b">
        <v>0</v>
      </c>
      <c r="H2" s="70" t="b">
        <v>0</v>
      </c>
      <c r="I2" s="76" t="b">
        <v>0</v>
      </c>
      <c r="J2" s="70" t="b">
        <v>0</v>
      </c>
      <c r="K2" s="75" t="b">
        <v>0</v>
      </c>
      <c r="L2" s="70" t="b">
        <v>0</v>
      </c>
      <c r="M2" s="70" t="b">
        <v>0</v>
      </c>
      <c r="N2" s="1" t="e">
        <f t="array" aca="1" ref="N2" ca="1">_xludf.XLOOKUP(A2,'3. 도서별 작업 현황'!A:A,'3. 도서별 작업 현황'!Z:Z,"")</f>
        <v>#NAME?</v>
      </c>
    </row>
    <row r="3" spans="1:15" ht="22.5" customHeight="1">
      <c r="A3" s="1" t="str">
        <f ca="1">IFERROR(__xludf.DUMMYFUNCTION("""COMPUTED_VALUE"""),"SS0002")</f>
        <v>SS0002</v>
      </c>
      <c r="B3" s="1" t="e">
        <f t="array" aca="1" ref="B3" ca="1">_xludf.XLOOKUP(A3, 도서_정보[ID], 도서_정보[도서명], "")</f>
        <v>#NAME?</v>
      </c>
      <c r="C3" s="1" t="e">
        <f t="array" aca="1" ref="C3" ca="1">_xludf.XLOOKUP(A3, 도서_정보[ID], 도서_정보[작업 페이지], "")</f>
        <v>#NAME?</v>
      </c>
      <c r="D3" s="70" t="b">
        <v>0</v>
      </c>
      <c r="E3" s="70" t="b">
        <v>0</v>
      </c>
      <c r="F3" s="77" t="b">
        <v>0</v>
      </c>
      <c r="G3" s="70" t="b">
        <v>0</v>
      </c>
      <c r="H3" s="70" t="b">
        <v>0</v>
      </c>
      <c r="I3" s="76" t="b">
        <v>0</v>
      </c>
      <c r="J3" s="70" t="b">
        <v>0</v>
      </c>
      <c r="K3" s="77" t="b">
        <v>0</v>
      </c>
      <c r="L3" s="70" t="b">
        <v>0</v>
      </c>
      <c r="M3" s="70" t="b">
        <v>0</v>
      </c>
      <c r="N3" s="1" t="e">
        <f t="array" aca="1" ref="N3" ca="1">_xludf.XLOOKUP(A3,'3. 도서별 작업 현황'!A:A,'3. 도서별 작업 현황'!Z:Z,"")</f>
        <v>#NAME?</v>
      </c>
    </row>
    <row r="4" spans="1:15" ht="22.5" customHeight="1">
      <c r="A4" s="1" t="str">
        <f ca="1">IFERROR(__xludf.DUMMYFUNCTION("""COMPUTED_VALUE"""),"SS0003")</f>
        <v>SS0003</v>
      </c>
      <c r="B4" s="1" t="e">
        <f t="array" aca="1" ref="B4" ca="1">_xludf.XLOOKUP(A4, 도서_정보[ID], 도서_정보[도서명], "")</f>
        <v>#NAME?</v>
      </c>
      <c r="C4" s="1" t="e">
        <f t="array" aca="1" ref="C4" ca="1">_xludf.XLOOKUP(A4, 도서_정보[ID], 도서_정보[작업 페이지], "")</f>
        <v>#NAME?</v>
      </c>
      <c r="D4" s="70" t="b">
        <v>0</v>
      </c>
      <c r="E4" s="70" t="b">
        <v>0</v>
      </c>
      <c r="F4" s="75" t="b">
        <v>0</v>
      </c>
      <c r="G4" s="70" t="b">
        <v>0</v>
      </c>
      <c r="H4" s="70" t="b">
        <v>0</v>
      </c>
      <c r="I4" s="76" t="b">
        <v>0</v>
      </c>
      <c r="J4" s="70" t="b">
        <v>0</v>
      </c>
      <c r="K4" s="75" t="b">
        <v>0</v>
      </c>
      <c r="L4" s="70" t="b">
        <v>0</v>
      </c>
      <c r="M4" s="70" t="b">
        <v>0</v>
      </c>
      <c r="N4" s="1" t="e">
        <f t="array" aca="1" ref="N4" ca="1">_xludf.XLOOKUP(A4,'3. 도서별 작업 현황'!A:A,'3. 도서별 작업 현황'!Z:Z,"")</f>
        <v>#NAME?</v>
      </c>
    </row>
    <row r="5" spans="1:15" ht="22.5" customHeight="1">
      <c r="A5" s="1" t="str">
        <f ca="1">IFERROR(__xludf.DUMMYFUNCTION("""COMPUTED_VALUE"""),"SS0004")</f>
        <v>SS0004</v>
      </c>
      <c r="B5" s="1" t="e">
        <f t="array" aca="1" ref="B5" ca="1">_xludf.XLOOKUP(A5, 도서_정보[ID], 도서_정보[도서명], "")</f>
        <v>#NAME?</v>
      </c>
      <c r="C5" s="1" t="e">
        <f t="array" aca="1" ref="C5" ca="1">_xludf.XLOOKUP(A5, 도서_정보[ID], 도서_정보[작업 페이지], "")</f>
        <v>#NAME?</v>
      </c>
      <c r="D5" s="70" t="b">
        <v>0</v>
      </c>
      <c r="E5" s="70" t="b">
        <v>0</v>
      </c>
      <c r="F5" s="77" t="b">
        <v>0</v>
      </c>
      <c r="G5" s="70" t="b">
        <v>0</v>
      </c>
      <c r="H5" s="70" t="b">
        <v>0</v>
      </c>
      <c r="I5" s="76" t="b">
        <v>0</v>
      </c>
      <c r="J5" s="70" t="b">
        <v>0</v>
      </c>
      <c r="K5" s="77" t="b">
        <v>0</v>
      </c>
      <c r="L5" s="70" t="b">
        <v>0</v>
      </c>
      <c r="M5" s="70" t="b">
        <v>0</v>
      </c>
      <c r="N5" s="1" t="e">
        <f t="array" aca="1" ref="N5" ca="1">_xludf.XLOOKUP(A5,'3. 도서별 작업 현황'!A:A,'3. 도서별 작업 현황'!Z:Z,"")</f>
        <v>#NAME?</v>
      </c>
    </row>
    <row r="6" spans="1:15" ht="22.5" customHeight="1">
      <c r="A6" s="1" t="str">
        <f ca="1">IFERROR(__xludf.DUMMYFUNCTION("""COMPUTED_VALUE"""),"SS0005")</f>
        <v>SS0005</v>
      </c>
      <c r="B6" s="1" t="e">
        <f t="array" aca="1" ref="B6" ca="1">_xludf.XLOOKUP(A6, 도서_정보[ID], 도서_정보[도서명], "")</f>
        <v>#NAME?</v>
      </c>
      <c r="C6" s="1" t="e">
        <f t="array" aca="1" ref="C6" ca="1">_xludf.XLOOKUP(A6, 도서_정보[ID], 도서_정보[작업 페이지], "")</f>
        <v>#NAME?</v>
      </c>
      <c r="D6" s="70" t="b">
        <v>0</v>
      </c>
      <c r="E6" s="70" t="b">
        <v>0</v>
      </c>
      <c r="F6" s="75" t="b">
        <v>0</v>
      </c>
      <c r="G6" s="70" t="b">
        <v>0</v>
      </c>
      <c r="H6" s="70" t="b">
        <v>0</v>
      </c>
      <c r="I6" s="76" t="b">
        <v>0</v>
      </c>
      <c r="J6" s="70" t="b">
        <v>0</v>
      </c>
      <c r="K6" s="75" t="b">
        <v>0</v>
      </c>
      <c r="L6" s="70" t="b">
        <v>0</v>
      </c>
      <c r="M6" s="70" t="b">
        <v>0</v>
      </c>
      <c r="N6" s="1" t="e">
        <f t="array" aca="1" ref="N6" ca="1">_xludf.XLOOKUP(A6,'3. 도서별 작업 현황'!A:A,'3. 도서별 작업 현황'!Z:Z,"")</f>
        <v>#NAME?</v>
      </c>
    </row>
    <row r="7" spans="1:15" ht="22.5" customHeight="1">
      <c r="A7" s="1" t="str">
        <f ca="1">IFERROR(__xludf.DUMMYFUNCTION("""COMPUTED_VALUE"""),"SS0006")</f>
        <v>SS0006</v>
      </c>
      <c r="B7" s="1" t="e">
        <f t="array" aca="1" ref="B7" ca="1">_xludf.XLOOKUP(A7, 도서_정보[ID], 도서_정보[도서명], "")</f>
        <v>#NAME?</v>
      </c>
      <c r="C7" s="1" t="e">
        <f t="array" aca="1" ref="C7" ca="1">_xludf.XLOOKUP(A7, 도서_정보[ID], 도서_정보[작업 페이지], "")</f>
        <v>#NAME?</v>
      </c>
      <c r="D7" s="70" t="b">
        <v>0</v>
      </c>
      <c r="E7" s="70" t="b">
        <v>0</v>
      </c>
      <c r="F7" s="77" t="b">
        <v>0</v>
      </c>
      <c r="G7" s="70" t="b">
        <v>0</v>
      </c>
      <c r="H7" s="70" t="b">
        <v>0</v>
      </c>
      <c r="I7" s="76" t="b">
        <v>0</v>
      </c>
      <c r="J7" s="70" t="b">
        <v>0</v>
      </c>
      <c r="K7" s="77" t="b">
        <v>0</v>
      </c>
      <c r="L7" s="70" t="b">
        <v>0</v>
      </c>
      <c r="M7" s="70" t="b">
        <v>0</v>
      </c>
      <c r="N7" s="1" t="e">
        <f t="array" aca="1" ref="N7" ca="1">_xludf.XLOOKUP(A7,'3. 도서별 작업 현황'!A:A,'3. 도서별 작업 현황'!Z:Z,"")</f>
        <v>#NAME?</v>
      </c>
    </row>
    <row r="8" spans="1:15" ht="22.5" customHeight="1">
      <c r="A8" s="1" t="str">
        <f ca="1">IFERROR(__xludf.DUMMYFUNCTION("""COMPUTED_VALUE"""),"SS0007")</f>
        <v>SS0007</v>
      </c>
      <c r="B8" s="1" t="e">
        <f t="array" aca="1" ref="B8" ca="1">_xludf.XLOOKUP(A8, 도서_정보[ID], 도서_정보[도서명], "")</f>
        <v>#NAME?</v>
      </c>
      <c r="C8" s="1" t="e">
        <f t="array" aca="1" ref="C8" ca="1">_xludf.XLOOKUP(A8, 도서_정보[ID], 도서_정보[작업 페이지], "")</f>
        <v>#NAME?</v>
      </c>
      <c r="D8" s="70" t="b">
        <v>0</v>
      </c>
      <c r="E8" s="70" t="b">
        <v>0</v>
      </c>
      <c r="F8" s="75" t="b">
        <v>0</v>
      </c>
      <c r="G8" s="70" t="b">
        <v>0</v>
      </c>
      <c r="H8" s="70" t="b">
        <v>0</v>
      </c>
      <c r="I8" s="76" t="b">
        <v>0</v>
      </c>
      <c r="J8" s="70" t="b">
        <v>0</v>
      </c>
      <c r="K8" s="75" t="b">
        <v>0</v>
      </c>
      <c r="L8" s="70" t="b">
        <v>0</v>
      </c>
      <c r="M8" s="70" t="b">
        <v>0</v>
      </c>
      <c r="N8" s="1" t="e">
        <f t="array" aca="1" ref="N8" ca="1">_xludf.XLOOKUP(A8,'3. 도서별 작업 현황'!A:A,'3. 도서별 작업 현황'!Z:Z,"")</f>
        <v>#NAME?</v>
      </c>
    </row>
    <row r="9" spans="1:15" ht="22.5" customHeight="1">
      <c r="A9" s="1" t="str">
        <f ca="1">IFERROR(__xludf.DUMMYFUNCTION("""COMPUTED_VALUE"""),"SS0008")</f>
        <v>SS0008</v>
      </c>
      <c r="B9" s="1" t="e">
        <f t="array" aca="1" ref="B9" ca="1">_xludf.XLOOKUP(A9, 도서_정보[ID], 도서_정보[도서명], "")</f>
        <v>#NAME?</v>
      </c>
      <c r="C9" s="1" t="e">
        <f t="array" aca="1" ref="C9" ca="1">_xludf.XLOOKUP(A9, 도서_정보[ID], 도서_정보[작업 페이지], "")</f>
        <v>#NAME?</v>
      </c>
      <c r="D9" s="70" t="b">
        <v>0</v>
      </c>
      <c r="E9" s="70" t="b">
        <v>0</v>
      </c>
      <c r="F9" s="77" t="b">
        <v>0</v>
      </c>
      <c r="G9" s="70" t="b">
        <v>0</v>
      </c>
      <c r="H9" s="70" t="b">
        <v>0</v>
      </c>
      <c r="I9" s="76" t="b">
        <v>0</v>
      </c>
      <c r="J9" s="70" t="b">
        <v>0</v>
      </c>
      <c r="K9" s="77" t="b">
        <v>0</v>
      </c>
      <c r="L9" s="70" t="b">
        <v>0</v>
      </c>
      <c r="M9" s="70" t="b">
        <v>0</v>
      </c>
      <c r="N9" s="1" t="e">
        <f t="array" aca="1" ref="N9" ca="1">_xludf.XLOOKUP(A9,'3. 도서별 작업 현황'!A:A,'3. 도서별 작업 현황'!Z:Z,"")</f>
        <v>#NAME?</v>
      </c>
    </row>
    <row r="10" spans="1:15" ht="22.5" customHeight="1">
      <c r="A10" s="1" t="str">
        <f ca="1">IFERROR(__xludf.DUMMYFUNCTION("""COMPUTED_VALUE"""),"SS0009")</f>
        <v>SS0009</v>
      </c>
      <c r="B10" s="1" t="e">
        <f t="array" aca="1" ref="B10" ca="1">_xludf.XLOOKUP(A10, 도서_정보[ID], 도서_정보[도서명], "")</f>
        <v>#NAME?</v>
      </c>
      <c r="C10" s="1" t="e">
        <f t="array" aca="1" ref="C10" ca="1">_xludf.XLOOKUP(A10, 도서_정보[ID], 도서_정보[작업 페이지], "")</f>
        <v>#NAME?</v>
      </c>
      <c r="D10" s="70" t="b">
        <v>0</v>
      </c>
      <c r="E10" s="70" t="b">
        <v>0</v>
      </c>
      <c r="F10" s="75" t="b">
        <v>0</v>
      </c>
      <c r="G10" s="70" t="b">
        <v>0</v>
      </c>
      <c r="H10" s="70" t="b">
        <v>0</v>
      </c>
      <c r="I10" s="76" t="b">
        <v>0</v>
      </c>
      <c r="J10" s="70" t="b">
        <v>0</v>
      </c>
      <c r="K10" s="75" t="b">
        <v>0</v>
      </c>
      <c r="L10" s="70" t="b">
        <v>0</v>
      </c>
      <c r="M10" s="70" t="b">
        <v>0</v>
      </c>
      <c r="N10" s="1" t="e">
        <f t="array" aca="1" ref="N10" ca="1">_xludf.XLOOKUP(A10,'3. 도서별 작업 현황'!A:A,'3. 도서별 작업 현황'!Z:Z,"")</f>
        <v>#NAME?</v>
      </c>
    </row>
    <row r="11" spans="1:15" ht="22.5" customHeight="1">
      <c r="A11" s="1" t="str">
        <f ca="1">IFERROR(__xludf.DUMMYFUNCTION("""COMPUTED_VALUE"""),"SS0010")</f>
        <v>SS0010</v>
      </c>
      <c r="B11" s="1" t="e">
        <f t="array" aca="1" ref="B11" ca="1">_xludf.XLOOKUP(A11, 도서_정보[ID], 도서_정보[도서명], "")</f>
        <v>#NAME?</v>
      </c>
      <c r="C11" s="1" t="e">
        <f t="array" aca="1" ref="C11" ca="1">_xludf.XLOOKUP(A11, 도서_정보[ID], 도서_정보[작업 페이지], "")</f>
        <v>#NAME?</v>
      </c>
      <c r="D11" s="70" t="b">
        <v>0</v>
      </c>
      <c r="E11" s="70" t="b">
        <v>0</v>
      </c>
      <c r="F11" s="77" t="b">
        <v>0</v>
      </c>
      <c r="G11" s="70" t="b">
        <v>0</v>
      </c>
      <c r="H11" s="70" t="b">
        <v>0</v>
      </c>
      <c r="I11" s="76" t="b">
        <v>0</v>
      </c>
      <c r="J11" s="70" t="b">
        <v>0</v>
      </c>
      <c r="K11" s="77" t="b">
        <v>0</v>
      </c>
      <c r="L11" s="70" t="b">
        <v>0</v>
      </c>
      <c r="M11" s="70" t="b">
        <v>0</v>
      </c>
      <c r="N11" s="1" t="e">
        <f t="array" aca="1" ref="N11" ca="1">_xludf.XLOOKUP(A11,'3. 도서별 작업 현황'!A:A,'3. 도서별 작업 현황'!Z:Z,"")</f>
        <v>#NAME?</v>
      </c>
    </row>
    <row r="12" spans="1:15" ht="22.5" customHeight="1">
      <c r="A12" s="1" t="str">
        <f ca="1">IFERROR(__xludf.DUMMYFUNCTION("""COMPUTED_VALUE"""),"SS0011")</f>
        <v>SS0011</v>
      </c>
      <c r="B12" s="1" t="e">
        <f t="array" aca="1" ref="B12" ca="1">_xludf.XLOOKUP(A12, 도서_정보[ID], 도서_정보[도서명], "")</f>
        <v>#NAME?</v>
      </c>
      <c r="C12" s="1" t="e">
        <f t="array" aca="1" ref="C12" ca="1">_xludf.XLOOKUP(A12, 도서_정보[ID], 도서_정보[작업 페이지], "")</f>
        <v>#NAME?</v>
      </c>
      <c r="D12" s="70" t="b">
        <v>0</v>
      </c>
      <c r="E12" s="70" t="b">
        <v>0</v>
      </c>
      <c r="F12" s="75" t="b">
        <v>0</v>
      </c>
      <c r="G12" s="70" t="b">
        <v>0</v>
      </c>
      <c r="H12" s="70" t="b">
        <v>0</v>
      </c>
      <c r="I12" s="76" t="b">
        <v>0</v>
      </c>
      <c r="J12" s="70" t="b">
        <v>0</v>
      </c>
      <c r="K12" s="75" t="b">
        <v>0</v>
      </c>
      <c r="L12" s="70" t="b">
        <v>0</v>
      </c>
      <c r="M12" s="70" t="b">
        <v>0</v>
      </c>
      <c r="N12" s="1" t="e">
        <f t="array" aca="1" ref="N12" ca="1">_xludf.XLOOKUP(A12,'3. 도서별 작업 현황'!A:A,'3. 도서별 작업 현황'!Z:Z,"")</f>
        <v>#NAME?</v>
      </c>
    </row>
    <row r="13" spans="1:15" ht="22.5" customHeight="1">
      <c r="A13" s="1" t="str">
        <f ca="1">IFERROR(__xludf.DUMMYFUNCTION("""COMPUTED_VALUE"""),"SS0012")</f>
        <v>SS0012</v>
      </c>
      <c r="B13" s="1" t="e">
        <f t="array" aca="1" ref="B13" ca="1">_xludf.XLOOKUP(A13, 도서_정보[ID], 도서_정보[도서명], "")</f>
        <v>#NAME?</v>
      </c>
      <c r="C13" s="1" t="e">
        <f t="array" aca="1" ref="C13" ca="1">_xludf.XLOOKUP(A13, 도서_정보[ID], 도서_정보[작업 페이지], "")</f>
        <v>#NAME?</v>
      </c>
      <c r="D13" s="70" t="b">
        <v>0</v>
      </c>
      <c r="E13" s="70" t="b">
        <v>0</v>
      </c>
      <c r="F13" s="77" t="b">
        <v>0</v>
      </c>
      <c r="G13" s="70" t="b">
        <v>0</v>
      </c>
      <c r="H13" s="70" t="b">
        <v>0</v>
      </c>
      <c r="I13" s="76" t="b">
        <v>0</v>
      </c>
      <c r="J13" s="70" t="b">
        <v>0</v>
      </c>
      <c r="K13" s="77" t="b">
        <v>0</v>
      </c>
      <c r="L13" s="70" t="b">
        <v>0</v>
      </c>
      <c r="M13" s="70" t="b">
        <v>0</v>
      </c>
      <c r="N13" s="1" t="e">
        <f t="array" aca="1" ref="N13" ca="1">_xludf.XLOOKUP(A13,'3. 도서별 작업 현황'!A:A,'3. 도서별 작업 현황'!Z:Z,"")</f>
        <v>#NAME?</v>
      </c>
    </row>
    <row r="14" spans="1:15" ht="22.5" customHeight="1">
      <c r="A14" s="1" t="str">
        <f ca="1">IFERROR(__xludf.DUMMYFUNCTION("""COMPUTED_VALUE"""),"SS0013")</f>
        <v>SS0013</v>
      </c>
      <c r="B14" s="1" t="e">
        <f t="array" aca="1" ref="B14" ca="1">_xludf.XLOOKUP(A14, 도서_정보[ID], 도서_정보[도서명], "")</f>
        <v>#NAME?</v>
      </c>
      <c r="C14" s="1" t="e">
        <f t="array" aca="1" ref="C14" ca="1">_xludf.XLOOKUP(A14, 도서_정보[ID], 도서_정보[작업 페이지], "")</f>
        <v>#NAME?</v>
      </c>
      <c r="D14" s="70" t="b">
        <v>0</v>
      </c>
      <c r="E14" s="70" t="b">
        <v>0</v>
      </c>
      <c r="F14" s="75" t="b">
        <v>0</v>
      </c>
      <c r="G14" s="70" t="b">
        <v>0</v>
      </c>
      <c r="H14" s="70" t="b">
        <v>0</v>
      </c>
      <c r="I14" s="76" t="b">
        <v>0</v>
      </c>
      <c r="J14" s="70" t="b">
        <v>0</v>
      </c>
      <c r="K14" s="75" t="b">
        <v>0</v>
      </c>
      <c r="L14" s="70" t="b">
        <v>0</v>
      </c>
      <c r="M14" s="70" t="b">
        <v>0</v>
      </c>
      <c r="N14" s="1" t="e">
        <f t="array" aca="1" ref="N14" ca="1">_xludf.XLOOKUP(A14,'3. 도서별 작업 현황'!A:A,'3. 도서별 작업 현황'!Z:Z,"")</f>
        <v>#NAME?</v>
      </c>
    </row>
    <row r="15" spans="1:15" ht="22.5" customHeight="1">
      <c r="A15" s="1" t="str">
        <f ca="1">IFERROR(__xludf.DUMMYFUNCTION("""COMPUTED_VALUE"""),"SS0014")</f>
        <v>SS0014</v>
      </c>
      <c r="B15" s="1" t="e">
        <f t="array" aca="1" ref="B15" ca="1">_xludf.XLOOKUP(A15, 도서_정보[ID], 도서_정보[도서명], "")</f>
        <v>#NAME?</v>
      </c>
      <c r="C15" s="1" t="e">
        <f t="array" aca="1" ref="C15" ca="1">_xludf.XLOOKUP(A15, 도서_정보[ID], 도서_정보[작업 페이지], "")</f>
        <v>#NAME?</v>
      </c>
      <c r="D15" s="70" t="b">
        <v>0</v>
      </c>
      <c r="E15" s="70" t="b">
        <v>0</v>
      </c>
      <c r="F15" s="77" t="b">
        <v>0</v>
      </c>
      <c r="G15" s="70" t="b">
        <v>0</v>
      </c>
      <c r="H15" s="70" t="b">
        <v>0</v>
      </c>
      <c r="I15" s="76" t="b">
        <v>0</v>
      </c>
      <c r="J15" s="70" t="b">
        <v>0</v>
      </c>
      <c r="K15" s="77" t="b">
        <v>0</v>
      </c>
      <c r="L15" s="70" t="b">
        <v>0</v>
      </c>
      <c r="M15" s="70" t="b">
        <v>0</v>
      </c>
      <c r="N15" s="1" t="e">
        <f t="array" aca="1" ref="N15" ca="1">_xludf.XLOOKUP(A15,'3. 도서별 작업 현황'!A:A,'3. 도서별 작업 현황'!Z:Z,"")</f>
        <v>#NAME?</v>
      </c>
    </row>
    <row r="16" spans="1:15" ht="22.5" customHeight="1">
      <c r="A16" s="1" t="str">
        <f ca="1">IFERROR(__xludf.DUMMYFUNCTION("""COMPUTED_VALUE"""),"SS0015")</f>
        <v>SS0015</v>
      </c>
      <c r="B16" s="1" t="e">
        <f t="array" aca="1" ref="B16" ca="1">_xludf.XLOOKUP(A16, 도서_정보[ID], 도서_정보[도서명], "")</f>
        <v>#NAME?</v>
      </c>
      <c r="C16" s="1" t="e">
        <f t="array" aca="1" ref="C16" ca="1">_xludf.XLOOKUP(A16, 도서_정보[ID], 도서_정보[작업 페이지], "")</f>
        <v>#NAME?</v>
      </c>
      <c r="D16" s="70" t="b">
        <v>0</v>
      </c>
      <c r="E16" s="70" t="b">
        <v>0</v>
      </c>
      <c r="F16" s="75" t="b">
        <v>0</v>
      </c>
      <c r="G16" s="70" t="b">
        <v>0</v>
      </c>
      <c r="H16" s="70" t="b">
        <v>0</v>
      </c>
      <c r="I16" s="76" t="b">
        <v>0</v>
      </c>
      <c r="J16" s="70" t="b">
        <v>0</v>
      </c>
      <c r="K16" s="75" t="b">
        <v>0</v>
      </c>
      <c r="L16" s="70" t="b">
        <v>0</v>
      </c>
      <c r="M16" s="70" t="b">
        <v>0</v>
      </c>
      <c r="N16" s="1" t="e">
        <f t="array" aca="1" ref="N16" ca="1">_xludf.XLOOKUP(A16,'3. 도서별 작업 현황'!A:A,'3. 도서별 작업 현황'!Z:Z,"")</f>
        <v>#NAME?</v>
      </c>
    </row>
    <row r="17" spans="1:14" ht="22.5" customHeight="1">
      <c r="A17" s="1" t="str">
        <f ca="1">IFERROR(__xludf.DUMMYFUNCTION("""COMPUTED_VALUE"""),"SS0016")</f>
        <v>SS0016</v>
      </c>
      <c r="B17" s="1" t="e">
        <f t="array" aca="1" ref="B17" ca="1">_xludf.XLOOKUP(A17, 도서_정보[ID], 도서_정보[도서명], "")</f>
        <v>#NAME?</v>
      </c>
      <c r="C17" s="1" t="e">
        <f t="array" aca="1" ref="C17" ca="1">_xludf.XLOOKUP(A17, 도서_정보[ID], 도서_정보[작업 페이지], "")</f>
        <v>#NAME?</v>
      </c>
      <c r="D17" s="70" t="b">
        <v>0</v>
      </c>
      <c r="E17" s="70" t="b">
        <v>0</v>
      </c>
      <c r="F17" s="77" t="b">
        <v>0</v>
      </c>
      <c r="G17" s="70" t="b">
        <v>0</v>
      </c>
      <c r="H17" s="70" t="b">
        <v>0</v>
      </c>
      <c r="I17" s="76" t="b">
        <v>0</v>
      </c>
      <c r="J17" s="70" t="b">
        <v>0</v>
      </c>
      <c r="K17" s="77" t="b">
        <v>0</v>
      </c>
      <c r="L17" s="70" t="b">
        <v>0</v>
      </c>
      <c r="M17" s="70" t="b">
        <v>0</v>
      </c>
      <c r="N17" s="1" t="e">
        <f t="array" aca="1" ref="N17" ca="1">_xludf.XLOOKUP(A17,'3. 도서별 작업 현황'!A:A,'3. 도서별 작업 현황'!Z:Z,"")</f>
        <v>#NAME?</v>
      </c>
    </row>
    <row r="18" spans="1:14" ht="22.5" customHeight="1">
      <c r="A18" s="1" t="str">
        <f ca="1">IFERROR(__xludf.DUMMYFUNCTION("""COMPUTED_VALUE"""),"SS0017")</f>
        <v>SS0017</v>
      </c>
      <c r="B18" s="1" t="e">
        <f t="array" aca="1" ref="B18" ca="1">_xludf.XLOOKUP(A18, 도서_정보[ID], 도서_정보[도서명], "")</f>
        <v>#NAME?</v>
      </c>
      <c r="C18" s="1" t="e">
        <f t="array" aca="1" ref="C18" ca="1">_xludf.XLOOKUP(A18, 도서_정보[ID], 도서_정보[작업 페이지], "")</f>
        <v>#NAME?</v>
      </c>
      <c r="D18" s="70" t="b">
        <v>0</v>
      </c>
      <c r="E18" s="70" t="b">
        <v>0</v>
      </c>
      <c r="F18" s="75" t="b">
        <v>0</v>
      </c>
      <c r="G18" s="70" t="b">
        <v>0</v>
      </c>
      <c r="H18" s="70" t="b">
        <v>0</v>
      </c>
      <c r="I18" s="76" t="b">
        <v>0</v>
      </c>
      <c r="J18" s="70" t="b">
        <v>0</v>
      </c>
      <c r="K18" s="75" t="b">
        <v>0</v>
      </c>
      <c r="L18" s="70" t="b">
        <v>0</v>
      </c>
      <c r="M18" s="70" t="b">
        <v>0</v>
      </c>
      <c r="N18" s="1" t="e">
        <f t="array" aca="1" ref="N18" ca="1">_xludf.XLOOKUP(A18,'3. 도서별 작업 현황'!A:A,'3. 도서별 작업 현황'!Z:Z,"")</f>
        <v>#NAME?</v>
      </c>
    </row>
    <row r="19" spans="1:14" ht="22.5" customHeight="1">
      <c r="A19" s="1" t="str">
        <f ca="1">IFERROR(__xludf.DUMMYFUNCTION("""COMPUTED_VALUE"""),"SS0018")</f>
        <v>SS0018</v>
      </c>
      <c r="B19" s="1" t="e">
        <f t="array" aca="1" ref="B19" ca="1">_xludf.XLOOKUP(A19, 도서_정보[ID], 도서_정보[도서명], "")</f>
        <v>#NAME?</v>
      </c>
      <c r="C19" s="1" t="e">
        <f t="array" aca="1" ref="C19" ca="1">_xludf.XLOOKUP(A19, 도서_정보[ID], 도서_정보[작업 페이지], "")</f>
        <v>#NAME?</v>
      </c>
      <c r="D19" s="70" t="b">
        <v>0</v>
      </c>
      <c r="E19" s="70" t="b">
        <v>0</v>
      </c>
      <c r="F19" s="77" t="b">
        <v>0</v>
      </c>
      <c r="G19" s="70" t="b">
        <v>0</v>
      </c>
      <c r="H19" s="70" t="b">
        <v>0</v>
      </c>
      <c r="I19" s="76" t="b">
        <v>0</v>
      </c>
      <c r="J19" s="70" t="b">
        <v>0</v>
      </c>
      <c r="K19" s="77" t="b">
        <v>0</v>
      </c>
      <c r="L19" s="70" t="b">
        <v>0</v>
      </c>
      <c r="M19" s="70" t="b">
        <v>0</v>
      </c>
      <c r="N19" s="1" t="e">
        <f t="array" aca="1" ref="N19" ca="1">_xludf.XLOOKUP(A19,'3. 도서별 작업 현황'!A:A,'3. 도서별 작업 현황'!Z:Z,"")</f>
        <v>#NAME?</v>
      </c>
    </row>
    <row r="20" spans="1:14" ht="22.5" customHeight="1">
      <c r="A20" s="1" t="str">
        <f ca="1">IFERROR(__xludf.DUMMYFUNCTION("""COMPUTED_VALUE"""),"SS0019")</f>
        <v>SS0019</v>
      </c>
      <c r="B20" s="1" t="e">
        <f t="array" aca="1" ref="B20" ca="1">_xludf.XLOOKUP(A20, 도서_정보[ID], 도서_정보[도서명], "")</f>
        <v>#NAME?</v>
      </c>
      <c r="C20" s="1" t="e">
        <f t="array" aca="1" ref="C20" ca="1">_xludf.XLOOKUP(A20, 도서_정보[ID], 도서_정보[작업 페이지], "")</f>
        <v>#NAME?</v>
      </c>
      <c r="D20" s="70" t="b">
        <v>0</v>
      </c>
      <c r="E20" s="70" t="b">
        <v>0</v>
      </c>
      <c r="F20" s="75" t="b">
        <v>0</v>
      </c>
      <c r="G20" s="70" t="b">
        <v>0</v>
      </c>
      <c r="H20" s="70" t="b">
        <v>0</v>
      </c>
      <c r="I20" s="76" t="b">
        <v>0</v>
      </c>
      <c r="J20" s="70" t="b">
        <v>0</v>
      </c>
      <c r="K20" s="75" t="b">
        <v>0</v>
      </c>
      <c r="L20" s="70" t="b">
        <v>0</v>
      </c>
      <c r="M20" s="70" t="b">
        <v>0</v>
      </c>
      <c r="N20" s="1" t="e">
        <f t="array" aca="1" ref="N20" ca="1">_xludf.XLOOKUP(A20,'3. 도서별 작업 현황'!A:A,'3. 도서별 작업 현황'!Z:Z,"")</f>
        <v>#NAME?</v>
      </c>
    </row>
    <row r="21" spans="1:14" ht="22.5" customHeight="1">
      <c r="A21" s="1" t="str">
        <f ca="1">IFERROR(__xludf.DUMMYFUNCTION("""COMPUTED_VALUE"""),"SS0020")</f>
        <v>SS0020</v>
      </c>
      <c r="B21" s="1" t="e">
        <f t="array" aca="1" ref="B21" ca="1">_xludf.XLOOKUP(A21, 도서_정보[ID], 도서_정보[도서명], "")</f>
        <v>#NAME?</v>
      </c>
      <c r="C21" s="1" t="e">
        <f t="array" aca="1" ref="C21" ca="1">_xludf.XLOOKUP(A21, 도서_정보[ID], 도서_정보[작업 페이지], "")</f>
        <v>#NAME?</v>
      </c>
      <c r="D21" s="70" t="b">
        <v>0</v>
      </c>
      <c r="E21" s="70" t="b">
        <v>0</v>
      </c>
      <c r="F21" s="77" t="b">
        <v>0</v>
      </c>
      <c r="G21" s="70" t="b">
        <v>0</v>
      </c>
      <c r="H21" s="70" t="b">
        <v>0</v>
      </c>
      <c r="I21" s="76" t="b">
        <v>0</v>
      </c>
      <c r="J21" s="70" t="b">
        <v>0</v>
      </c>
      <c r="K21" s="77" t="b">
        <v>0</v>
      </c>
      <c r="L21" s="70" t="b">
        <v>0</v>
      </c>
      <c r="M21" s="70" t="b">
        <v>0</v>
      </c>
      <c r="N21" s="1" t="e">
        <f t="array" aca="1" ref="N21" ca="1">_xludf.XLOOKUP(A21,'3. 도서별 작업 현황'!A:A,'3. 도서별 작업 현황'!Z:Z,"")</f>
        <v>#NAME?</v>
      </c>
    </row>
    <row r="22" spans="1:14" ht="22.5" customHeight="1">
      <c r="A22" s="1" t="str">
        <f ca="1">IFERROR(__xludf.DUMMYFUNCTION("""COMPUTED_VALUE"""),"SS0021")</f>
        <v>SS0021</v>
      </c>
      <c r="B22" s="1" t="e">
        <f t="array" aca="1" ref="B22" ca="1">_xludf.XLOOKUP(A22, 도서_정보[ID], 도서_정보[도서명], "")</f>
        <v>#NAME?</v>
      </c>
      <c r="C22" s="1" t="e">
        <f t="array" aca="1" ref="C22" ca="1">_xludf.XLOOKUP(A22, 도서_정보[ID], 도서_정보[작업 페이지], "")</f>
        <v>#NAME?</v>
      </c>
      <c r="D22" s="70" t="b">
        <v>0</v>
      </c>
      <c r="E22" s="70" t="b">
        <v>0</v>
      </c>
      <c r="F22" s="75" t="b">
        <v>0</v>
      </c>
      <c r="G22" s="70" t="b">
        <v>0</v>
      </c>
      <c r="H22" s="70" t="b">
        <v>0</v>
      </c>
      <c r="I22" s="76" t="b">
        <v>0</v>
      </c>
      <c r="J22" s="70" t="b">
        <v>0</v>
      </c>
      <c r="K22" s="75" t="b">
        <v>0</v>
      </c>
      <c r="L22" s="70" t="b">
        <v>0</v>
      </c>
      <c r="M22" s="70" t="b">
        <v>0</v>
      </c>
      <c r="N22" s="1" t="e">
        <f t="array" aca="1" ref="N22" ca="1">_xludf.XLOOKUP(A22,'3. 도서별 작업 현황'!A:A,'3. 도서별 작업 현황'!Z:Z,"")</f>
        <v>#NAME?</v>
      </c>
    </row>
    <row r="23" spans="1:14" ht="22.5" customHeight="1">
      <c r="A23" s="1" t="str">
        <f ca="1">IFERROR(__xludf.DUMMYFUNCTION("""COMPUTED_VALUE"""),"SS0022")</f>
        <v>SS0022</v>
      </c>
      <c r="B23" s="1" t="e">
        <f t="array" aca="1" ref="B23" ca="1">_xludf.XLOOKUP(A23, 도서_정보[ID], 도서_정보[도서명], "")</f>
        <v>#NAME?</v>
      </c>
      <c r="C23" s="1" t="e">
        <f t="array" aca="1" ref="C23" ca="1">_xludf.XLOOKUP(A23, 도서_정보[ID], 도서_정보[작업 페이지], "")</f>
        <v>#NAME?</v>
      </c>
      <c r="D23" s="70" t="b">
        <v>0</v>
      </c>
      <c r="E23" s="70" t="b">
        <v>0</v>
      </c>
      <c r="F23" s="77" t="b">
        <v>0</v>
      </c>
      <c r="G23" s="70" t="b">
        <v>0</v>
      </c>
      <c r="H23" s="70" t="b">
        <v>0</v>
      </c>
      <c r="I23" s="76" t="b">
        <v>0</v>
      </c>
      <c r="J23" s="70" t="b">
        <v>0</v>
      </c>
      <c r="K23" s="77" t="b">
        <v>0</v>
      </c>
      <c r="L23" s="70" t="b">
        <v>0</v>
      </c>
      <c r="M23" s="70" t="b">
        <v>0</v>
      </c>
      <c r="N23" s="1" t="e">
        <f t="array" aca="1" ref="N23" ca="1">_xludf.XLOOKUP(A23,'3. 도서별 작업 현황'!A:A,'3. 도서별 작업 현황'!Z:Z,"")</f>
        <v>#NAME?</v>
      </c>
    </row>
    <row r="24" spans="1:14" ht="22.5" customHeight="1">
      <c r="A24" s="1" t="str">
        <f ca="1">IFERROR(__xludf.DUMMYFUNCTION("""COMPUTED_VALUE"""),"SS0023")</f>
        <v>SS0023</v>
      </c>
      <c r="B24" s="1" t="e">
        <f t="array" aca="1" ref="B24" ca="1">_xludf.XLOOKUP(A24, 도서_정보[ID], 도서_정보[도서명], "")</f>
        <v>#NAME?</v>
      </c>
      <c r="C24" s="1" t="e">
        <f t="array" aca="1" ref="C24" ca="1">_xludf.XLOOKUP(A24, 도서_정보[ID], 도서_정보[작업 페이지], "")</f>
        <v>#NAME?</v>
      </c>
      <c r="D24" s="70" t="b">
        <v>0</v>
      </c>
      <c r="E24" s="70" t="b">
        <v>0</v>
      </c>
      <c r="F24" s="75" t="b">
        <v>0</v>
      </c>
      <c r="G24" s="70" t="b">
        <v>0</v>
      </c>
      <c r="H24" s="70" t="b">
        <v>0</v>
      </c>
      <c r="I24" s="76" t="b">
        <v>0</v>
      </c>
      <c r="J24" s="70" t="b">
        <v>0</v>
      </c>
      <c r="K24" s="75" t="b">
        <v>0</v>
      </c>
      <c r="L24" s="70" t="b">
        <v>0</v>
      </c>
      <c r="M24" s="70" t="b">
        <v>0</v>
      </c>
      <c r="N24" s="1" t="e">
        <f t="array" aca="1" ref="N24" ca="1">_xludf.XLOOKUP(A24,'3. 도서별 작업 현황'!A:A,'3. 도서별 작업 현황'!Z:Z,"")</f>
        <v>#NAME?</v>
      </c>
    </row>
    <row r="25" spans="1:14" ht="22.5" customHeight="1">
      <c r="A25" s="1" t="str">
        <f ca="1">IFERROR(__xludf.DUMMYFUNCTION("""COMPUTED_VALUE"""),"SS0024")</f>
        <v>SS0024</v>
      </c>
      <c r="B25" s="1" t="e">
        <f t="array" aca="1" ref="B25" ca="1">_xludf.XLOOKUP(A25, 도서_정보[ID], 도서_정보[도서명], "")</f>
        <v>#NAME?</v>
      </c>
      <c r="C25" s="1" t="e">
        <f t="array" aca="1" ref="C25" ca="1">_xludf.XLOOKUP(A25, 도서_정보[ID], 도서_정보[작업 페이지], "")</f>
        <v>#NAME?</v>
      </c>
      <c r="D25" s="70" t="b">
        <v>0</v>
      </c>
      <c r="E25" s="70" t="b">
        <v>0</v>
      </c>
      <c r="F25" s="77" t="b">
        <v>0</v>
      </c>
      <c r="G25" s="70" t="b">
        <v>0</v>
      </c>
      <c r="H25" s="70" t="b">
        <v>0</v>
      </c>
      <c r="I25" s="76" t="b">
        <v>0</v>
      </c>
      <c r="J25" s="70" t="b">
        <v>0</v>
      </c>
      <c r="K25" s="77" t="b">
        <v>0</v>
      </c>
      <c r="L25" s="70" t="b">
        <v>0</v>
      </c>
      <c r="M25" s="70" t="b">
        <v>0</v>
      </c>
      <c r="N25" s="1" t="e">
        <f t="array" aca="1" ref="N25" ca="1">_xludf.XLOOKUP(A25,'3. 도서별 작업 현황'!A:A,'3. 도서별 작업 현황'!Z:Z,"")</f>
        <v>#NAME?</v>
      </c>
    </row>
    <row r="26" spans="1:14" ht="22.5" customHeight="1">
      <c r="A26" s="1" t="str">
        <f ca="1">IFERROR(__xludf.DUMMYFUNCTION("""COMPUTED_VALUE"""),"SS0025")</f>
        <v>SS0025</v>
      </c>
      <c r="B26" s="1" t="e">
        <f t="array" aca="1" ref="B26" ca="1">_xludf.XLOOKUP(A26, 도서_정보[ID], 도서_정보[도서명], "")</f>
        <v>#NAME?</v>
      </c>
      <c r="C26" s="1" t="e">
        <f t="array" aca="1" ref="C26" ca="1">_xludf.XLOOKUP(A26, 도서_정보[ID], 도서_정보[작업 페이지], "")</f>
        <v>#NAME?</v>
      </c>
      <c r="D26" s="70" t="b">
        <v>0</v>
      </c>
      <c r="E26" s="70" t="b">
        <v>0</v>
      </c>
      <c r="F26" s="75" t="b">
        <v>0</v>
      </c>
      <c r="G26" s="70" t="b">
        <v>0</v>
      </c>
      <c r="H26" s="70" t="b">
        <v>0</v>
      </c>
      <c r="I26" s="76" t="b">
        <v>0</v>
      </c>
      <c r="J26" s="70" t="b">
        <v>0</v>
      </c>
      <c r="K26" s="75" t="b">
        <v>0</v>
      </c>
      <c r="L26" s="70" t="b">
        <v>0</v>
      </c>
      <c r="M26" s="70" t="b">
        <v>0</v>
      </c>
      <c r="N26" s="1" t="e">
        <f t="array" aca="1" ref="N26" ca="1">_xludf.XLOOKUP(A26,'3. 도서별 작업 현황'!A:A,'3. 도서별 작업 현황'!Z:Z,"")</f>
        <v>#NAME?</v>
      </c>
    </row>
    <row r="27" spans="1:14" ht="22.5" customHeight="1">
      <c r="A27" s="1" t="str">
        <f ca="1">IFERROR(__xludf.DUMMYFUNCTION("""COMPUTED_VALUE"""),"SS0026")</f>
        <v>SS0026</v>
      </c>
      <c r="B27" s="1" t="e">
        <f t="array" aca="1" ref="B27" ca="1">_xludf.XLOOKUP(A27, 도서_정보[ID], 도서_정보[도서명], "")</f>
        <v>#NAME?</v>
      </c>
      <c r="C27" s="1" t="e">
        <f t="array" aca="1" ref="C27" ca="1">_xludf.XLOOKUP(A27, 도서_정보[ID], 도서_정보[작업 페이지], "")</f>
        <v>#NAME?</v>
      </c>
      <c r="D27" s="70" t="b">
        <v>0</v>
      </c>
      <c r="E27" s="70" t="b">
        <v>0</v>
      </c>
      <c r="F27" s="77" t="b">
        <v>0</v>
      </c>
      <c r="G27" s="70" t="b">
        <v>0</v>
      </c>
      <c r="H27" s="70" t="b">
        <v>0</v>
      </c>
      <c r="I27" s="76" t="b">
        <v>0</v>
      </c>
      <c r="J27" s="70" t="b">
        <v>0</v>
      </c>
      <c r="K27" s="77" t="b">
        <v>0</v>
      </c>
      <c r="L27" s="70" t="b">
        <v>0</v>
      </c>
      <c r="M27" s="70" t="b">
        <v>0</v>
      </c>
      <c r="N27" s="1" t="e">
        <f t="array" aca="1" ref="N27" ca="1">_xludf.XLOOKUP(A27,'3. 도서별 작업 현황'!A:A,'3. 도서별 작업 현황'!Z:Z,"")</f>
        <v>#NAME?</v>
      </c>
    </row>
    <row r="28" spans="1:14" ht="22.5" customHeight="1">
      <c r="A28" s="1" t="str">
        <f ca="1">IFERROR(__xludf.DUMMYFUNCTION("""COMPUTED_VALUE"""),"SS0027")</f>
        <v>SS0027</v>
      </c>
      <c r="B28" s="1" t="e">
        <f t="array" aca="1" ref="B28" ca="1">_xludf.XLOOKUP(A28, 도서_정보[ID], 도서_정보[도서명], "")</f>
        <v>#NAME?</v>
      </c>
      <c r="C28" s="1" t="e">
        <f t="array" aca="1" ref="C28" ca="1">_xludf.XLOOKUP(A28, 도서_정보[ID], 도서_정보[작업 페이지], "")</f>
        <v>#NAME?</v>
      </c>
      <c r="D28" s="70" t="b">
        <v>0</v>
      </c>
      <c r="E28" s="70" t="b">
        <v>0</v>
      </c>
      <c r="F28" s="75" t="b">
        <v>0</v>
      </c>
      <c r="G28" s="70" t="b">
        <v>0</v>
      </c>
      <c r="H28" s="70" t="b">
        <v>0</v>
      </c>
      <c r="I28" s="76" t="b">
        <v>0</v>
      </c>
      <c r="J28" s="70" t="b">
        <v>0</v>
      </c>
      <c r="K28" s="75" t="b">
        <v>0</v>
      </c>
      <c r="L28" s="70" t="b">
        <v>0</v>
      </c>
      <c r="M28" s="70" t="b">
        <v>0</v>
      </c>
      <c r="N28" s="1" t="e">
        <f t="array" aca="1" ref="N28" ca="1">_xludf.XLOOKUP(A28,'3. 도서별 작업 현황'!A:A,'3. 도서별 작업 현황'!Z:Z,"")</f>
        <v>#NAME?</v>
      </c>
    </row>
    <row r="29" spans="1:14" ht="22.5" customHeight="1">
      <c r="A29" s="1" t="str">
        <f ca="1">IFERROR(__xludf.DUMMYFUNCTION("""COMPUTED_VALUE"""),"SS0028")</f>
        <v>SS0028</v>
      </c>
      <c r="B29" s="1" t="e">
        <f t="array" aca="1" ref="B29" ca="1">_xludf.XLOOKUP(A29, 도서_정보[ID], 도서_정보[도서명], "")</f>
        <v>#NAME?</v>
      </c>
      <c r="C29" s="1" t="e">
        <f t="array" aca="1" ref="C29" ca="1">_xludf.XLOOKUP(A29, 도서_정보[ID], 도서_정보[작업 페이지], "")</f>
        <v>#NAME?</v>
      </c>
      <c r="D29" s="70" t="b">
        <v>0</v>
      </c>
      <c r="E29" s="70" t="b">
        <v>0</v>
      </c>
      <c r="F29" s="77" t="b">
        <v>0</v>
      </c>
      <c r="G29" s="70" t="b">
        <v>0</v>
      </c>
      <c r="H29" s="70" t="b">
        <v>0</v>
      </c>
      <c r="I29" s="76" t="b">
        <v>0</v>
      </c>
      <c r="J29" s="70" t="b">
        <v>0</v>
      </c>
      <c r="K29" s="77" t="b">
        <v>0</v>
      </c>
      <c r="L29" s="70" t="b">
        <v>0</v>
      </c>
      <c r="M29" s="70" t="b">
        <v>0</v>
      </c>
      <c r="N29" s="1" t="e">
        <f t="array" aca="1" ref="N29" ca="1">_xludf.XLOOKUP(A29,'3. 도서별 작업 현황'!A:A,'3. 도서별 작업 현황'!Z:Z,"")</f>
        <v>#NAME?</v>
      </c>
    </row>
    <row r="30" spans="1:14" ht="22.5" customHeight="1">
      <c r="A30" s="1" t="str">
        <f ca="1">IFERROR(__xludf.DUMMYFUNCTION("""COMPUTED_VALUE"""),"SS0029")</f>
        <v>SS0029</v>
      </c>
      <c r="B30" s="1" t="e">
        <f t="array" aca="1" ref="B30" ca="1">_xludf.XLOOKUP(A30, 도서_정보[ID], 도서_정보[도서명], "")</f>
        <v>#NAME?</v>
      </c>
      <c r="C30" s="1" t="e">
        <f t="array" aca="1" ref="C30" ca="1">_xludf.XLOOKUP(A30, 도서_정보[ID], 도서_정보[작업 페이지], "")</f>
        <v>#NAME?</v>
      </c>
      <c r="D30" s="70" t="b">
        <v>0</v>
      </c>
      <c r="E30" s="70" t="b">
        <v>0</v>
      </c>
      <c r="F30" s="75" t="b">
        <v>0</v>
      </c>
      <c r="G30" s="70" t="b">
        <v>0</v>
      </c>
      <c r="H30" s="70" t="b">
        <v>0</v>
      </c>
      <c r="I30" s="76" t="b">
        <v>0</v>
      </c>
      <c r="J30" s="70" t="b">
        <v>0</v>
      </c>
      <c r="K30" s="75" t="b">
        <v>0</v>
      </c>
      <c r="L30" s="70" t="b">
        <v>0</v>
      </c>
      <c r="M30" s="70" t="b">
        <v>0</v>
      </c>
      <c r="N30" s="1" t="e">
        <f t="array" aca="1" ref="N30" ca="1">_xludf.XLOOKUP(A30,'3. 도서별 작업 현황'!A:A,'3. 도서별 작업 현황'!Z:Z,"")</f>
        <v>#NAME?</v>
      </c>
    </row>
    <row r="31" spans="1:14" ht="22.5" customHeight="1">
      <c r="A31" s="1" t="str">
        <f ca="1">IFERROR(__xludf.DUMMYFUNCTION("""COMPUTED_VALUE"""),"SS0030")</f>
        <v>SS0030</v>
      </c>
      <c r="B31" s="1" t="e">
        <f t="array" aca="1" ref="B31" ca="1">_xludf.XLOOKUP(A31, 도서_정보[ID], 도서_정보[도서명], "")</f>
        <v>#NAME?</v>
      </c>
      <c r="C31" s="1" t="e">
        <f t="array" aca="1" ref="C31" ca="1">_xludf.XLOOKUP(A31, 도서_정보[ID], 도서_정보[작업 페이지], "")</f>
        <v>#NAME?</v>
      </c>
      <c r="D31" s="70" t="b">
        <v>0</v>
      </c>
      <c r="E31" s="70" t="b">
        <v>0</v>
      </c>
      <c r="F31" s="77" t="b">
        <v>0</v>
      </c>
      <c r="G31" s="70" t="b">
        <v>0</v>
      </c>
      <c r="H31" s="70" t="b">
        <v>0</v>
      </c>
      <c r="I31" s="76" t="b">
        <v>0</v>
      </c>
      <c r="J31" s="70" t="b">
        <v>0</v>
      </c>
      <c r="K31" s="77" t="b">
        <v>0</v>
      </c>
      <c r="L31" s="70" t="b">
        <v>0</v>
      </c>
      <c r="M31" s="70" t="b">
        <v>0</v>
      </c>
      <c r="N31" s="1" t="e">
        <f t="array" aca="1" ref="N31" ca="1">_xludf.XLOOKUP(A31,'3. 도서별 작업 현황'!A:A,'3. 도서별 작업 현황'!Z:Z,"")</f>
        <v>#NAME?</v>
      </c>
    </row>
    <row r="32" spans="1:14" ht="22.5" customHeight="1">
      <c r="A32" s="1" t="str">
        <f ca="1">IFERROR(__xludf.DUMMYFUNCTION("""COMPUTED_VALUE"""),"SS0031")</f>
        <v>SS0031</v>
      </c>
      <c r="B32" s="1" t="e">
        <f t="array" aca="1" ref="B32" ca="1">_xludf.XLOOKUP(A32, 도서_정보[ID], 도서_정보[도서명], "")</f>
        <v>#NAME?</v>
      </c>
      <c r="C32" s="1" t="e">
        <f t="array" aca="1" ref="C32" ca="1">_xludf.XLOOKUP(A32, 도서_정보[ID], 도서_정보[작업 페이지], "")</f>
        <v>#NAME?</v>
      </c>
      <c r="D32" s="70" t="b">
        <v>0</v>
      </c>
      <c r="E32" s="70" t="b">
        <v>0</v>
      </c>
      <c r="F32" s="75" t="b">
        <v>0</v>
      </c>
      <c r="G32" s="70" t="b">
        <v>0</v>
      </c>
      <c r="H32" s="70" t="b">
        <v>0</v>
      </c>
      <c r="I32" s="76" t="b">
        <v>0</v>
      </c>
      <c r="J32" s="70" t="b">
        <v>0</v>
      </c>
      <c r="K32" s="75" t="b">
        <v>0</v>
      </c>
      <c r="L32" s="70" t="b">
        <v>0</v>
      </c>
      <c r="M32" s="70" t="b">
        <v>0</v>
      </c>
      <c r="N32" s="1" t="e">
        <f t="array" aca="1" ref="N32" ca="1">_xludf.XLOOKUP(A32,'3. 도서별 작업 현황'!A:A,'3. 도서별 작업 현황'!Z:Z,"")</f>
        <v>#NAME?</v>
      </c>
    </row>
    <row r="33" spans="1:14" ht="22.5" customHeight="1">
      <c r="A33" s="1" t="str">
        <f ca="1">IFERROR(__xludf.DUMMYFUNCTION("""COMPUTED_VALUE"""),"SS0032")</f>
        <v>SS0032</v>
      </c>
      <c r="B33" s="1" t="e">
        <f t="array" aca="1" ref="B33" ca="1">_xludf.XLOOKUP(A33, 도서_정보[ID], 도서_정보[도서명], "")</f>
        <v>#NAME?</v>
      </c>
      <c r="C33" s="1" t="e">
        <f t="array" aca="1" ref="C33" ca="1">_xludf.XLOOKUP(A33, 도서_정보[ID], 도서_정보[작업 페이지], "")</f>
        <v>#NAME?</v>
      </c>
      <c r="D33" s="70" t="b">
        <v>0</v>
      </c>
      <c r="E33" s="70" t="b">
        <v>0</v>
      </c>
      <c r="F33" s="77" t="b">
        <v>0</v>
      </c>
      <c r="G33" s="70" t="b">
        <v>0</v>
      </c>
      <c r="H33" s="70" t="b">
        <v>0</v>
      </c>
      <c r="I33" s="76" t="b">
        <v>0</v>
      </c>
      <c r="J33" s="70" t="b">
        <v>0</v>
      </c>
      <c r="K33" s="77" t="b">
        <v>0</v>
      </c>
      <c r="L33" s="70" t="b">
        <v>0</v>
      </c>
      <c r="M33" s="70" t="b">
        <v>0</v>
      </c>
      <c r="N33" s="1" t="e">
        <f t="array" aca="1" ref="N33" ca="1">_xludf.XLOOKUP(A33,'3. 도서별 작업 현황'!A:A,'3. 도서별 작업 현황'!Z:Z,"")</f>
        <v>#NAME?</v>
      </c>
    </row>
    <row r="34" spans="1:14" ht="22.5" customHeight="1">
      <c r="A34" s="1" t="str">
        <f ca="1">IFERROR(__xludf.DUMMYFUNCTION("""COMPUTED_VALUE"""),"SS0033")</f>
        <v>SS0033</v>
      </c>
      <c r="B34" s="1" t="e">
        <f t="array" aca="1" ref="B34" ca="1">_xludf.XLOOKUP(A34, 도서_정보[ID], 도서_정보[도서명], "")</f>
        <v>#NAME?</v>
      </c>
      <c r="C34" s="1" t="e">
        <f t="array" aca="1" ref="C34" ca="1">_xludf.XLOOKUP(A34, 도서_정보[ID], 도서_정보[작업 페이지], "")</f>
        <v>#NAME?</v>
      </c>
      <c r="D34" s="70" t="b">
        <v>0</v>
      </c>
      <c r="E34" s="70" t="b">
        <v>0</v>
      </c>
      <c r="F34" s="75" t="b">
        <v>0</v>
      </c>
      <c r="G34" s="70" t="b">
        <v>0</v>
      </c>
      <c r="H34" s="70" t="b">
        <v>0</v>
      </c>
      <c r="I34" s="76" t="b">
        <v>0</v>
      </c>
      <c r="J34" s="70" t="b">
        <v>0</v>
      </c>
      <c r="K34" s="75" t="b">
        <v>0</v>
      </c>
      <c r="L34" s="70" t="b">
        <v>0</v>
      </c>
      <c r="M34" s="70" t="b">
        <v>0</v>
      </c>
      <c r="N34" s="1" t="e">
        <f t="array" aca="1" ref="N34" ca="1">_xludf.XLOOKUP(A34,'3. 도서별 작업 현황'!A:A,'3. 도서별 작업 현황'!Z:Z,"")</f>
        <v>#NAME?</v>
      </c>
    </row>
    <row r="35" spans="1:14" ht="22.5" customHeight="1">
      <c r="A35" s="1" t="str">
        <f ca="1">IFERROR(__xludf.DUMMYFUNCTION("""COMPUTED_VALUE"""),"SS0034")</f>
        <v>SS0034</v>
      </c>
      <c r="B35" s="1" t="e">
        <f t="array" aca="1" ref="B35" ca="1">_xludf.XLOOKUP(A35, 도서_정보[ID], 도서_정보[도서명], "")</f>
        <v>#NAME?</v>
      </c>
      <c r="C35" s="1" t="e">
        <f t="array" aca="1" ref="C35" ca="1">_xludf.XLOOKUP(A35, 도서_정보[ID], 도서_정보[작업 페이지], "")</f>
        <v>#NAME?</v>
      </c>
      <c r="D35" s="70" t="b">
        <v>0</v>
      </c>
      <c r="E35" s="70" t="b">
        <v>0</v>
      </c>
      <c r="F35" s="77" t="b">
        <v>0</v>
      </c>
      <c r="G35" s="70" t="b">
        <v>0</v>
      </c>
      <c r="H35" s="70" t="b">
        <v>0</v>
      </c>
      <c r="I35" s="76" t="b">
        <v>0</v>
      </c>
      <c r="J35" s="70" t="b">
        <v>0</v>
      </c>
      <c r="K35" s="77" t="b">
        <v>0</v>
      </c>
      <c r="L35" s="70" t="b">
        <v>0</v>
      </c>
      <c r="M35" s="70" t="b">
        <v>0</v>
      </c>
      <c r="N35" s="1" t="e">
        <f t="array" aca="1" ref="N35" ca="1">_xludf.XLOOKUP(A35,'3. 도서별 작업 현황'!A:A,'3. 도서별 작업 현황'!Z:Z,"")</f>
        <v>#NAME?</v>
      </c>
    </row>
    <row r="36" spans="1:14" ht="22.5" customHeight="1">
      <c r="A36" s="1" t="str">
        <f ca="1">IFERROR(__xludf.DUMMYFUNCTION("""COMPUTED_VALUE"""),"SS0035")</f>
        <v>SS0035</v>
      </c>
      <c r="B36" s="1" t="e">
        <f t="array" aca="1" ref="B36" ca="1">_xludf.XLOOKUP(A36, 도서_정보[ID], 도서_정보[도서명], "")</f>
        <v>#NAME?</v>
      </c>
      <c r="C36" s="1" t="e">
        <f t="array" aca="1" ref="C36" ca="1">_xludf.XLOOKUP(A36, 도서_정보[ID], 도서_정보[작업 페이지], "")</f>
        <v>#NAME?</v>
      </c>
      <c r="D36" s="70" t="b">
        <v>0</v>
      </c>
      <c r="E36" s="70" t="b">
        <v>0</v>
      </c>
      <c r="F36" s="75" t="b">
        <v>0</v>
      </c>
      <c r="G36" s="70" t="b">
        <v>0</v>
      </c>
      <c r="H36" s="70" t="b">
        <v>0</v>
      </c>
      <c r="I36" s="76" t="b">
        <v>0</v>
      </c>
      <c r="J36" s="70" t="b">
        <v>0</v>
      </c>
      <c r="K36" s="75" t="b">
        <v>0</v>
      </c>
      <c r="L36" s="70" t="b">
        <v>0</v>
      </c>
      <c r="M36" s="70" t="b">
        <v>0</v>
      </c>
      <c r="N36" s="1" t="e">
        <f t="array" aca="1" ref="N36" ca="1">_xludf.XLOOKUP(A36,'3. 도서별 작업 현황'!A:A,'3. 도서별 작업 현황'!Z:Z,"")</f>
        <v>#NAME?</v>
      </c>
    </row>
    <row r="37" spans="1:14" ht="22.5" customHeight="1">
      <c r="A37" s="1" t="str">
        <f ca="1">IFERROR(__xludf.DUMMYFUNCTION("""COMPUTED_VALUE"""),"SS0036")</f>
        <v>SS0036</v>
      </c>
      <c r="B37" s="1" t="e">
        <f t="array" aca="1" ref="B37" ca="1">_xludf.XLOOKUP(A37, 도서_정보[ID], 도서_정보[도서명], "")</f>
        <v>#NAME?</v>
      </c>
      <c r="C37" s="1" t="e">
        <f t="array" aca="1" ref="C37" ca="1">_xludf.XLOOKUP(A37, 도서_정보[ID], 도서_정보[작업 페이지], "")</f>
        <v>#NAME?</v>
      </c>
      <c r="D37" s="70" t="b">
        <v>0</v>
      </c>
      <c r="E37" s="70" t="b">
        <v>0</v>
      </c>
      <c r="F37" s="77" t="b">
        <v>0</v>
      </c>
      <c r="G37" s="70" t="b">
        <v>0</v>
      </c>
      <c r="H37" s="70" t="b">
        <v>0</v>
      </c>
      <c r="I37" s="76" t="b">
        <v>0</v>
      </c>
      <c r="J37" s="70" t="b">
        <v>0</v>
      </c>
      <c r="K37" s="77" t="b">
        <v>0</v>
      </c>
      <c r="L37" s="70" t="b">
        <v>0</v>
      </c>
      <c r="M37" s="70" t="b">
        <v>0</v>
      </c>
      <c r="N37" s="1" t="e">
        <f t="array" aca="1" ref="N37" ca="1">_xludf.XLOOKUP(A37,'3. 도서별 작업 현황'!A:A,'3. 도서별 작업 현황'!Z:Z,"")</f>
        <v>#NAME?</v>
      </c>
    </row>
    <row r="38" spans="1:14" ht="22.5" customHeight="1">
      <c r="A38" s="1" t="str">
        <f ca="1">IFERROR(__xludf.DUMMYFUNCTION("""COMPUTED_VALUE"""),"SS0037")</f>
        <v>SS0037</v>
      </c>
      <c r="B38" s="1" t="e">
        <f t="array" aca="1" ref="B38" ca="1">_xludf.XLOOKUP(A38, 도서_정보[ID], 도서_정보[도서명], "")</f>
        <v>#NAME?</v>
      </c>
      <c r="C38" s="1" t="e">
        <f t="array" aca="1" ref="C38" ca="1">_xludf.XLOOKUP(A38, 도서_정보[ID], 도서_정보[작업 페이지], "")</f>
        <v>#NAME?</v>
      </c>
      <c r="D38" s="70" t="b">
        <v>0</v>
      </c>
      <c r="E38" s="70" t="b">
        <v>0</v>
      </c>
      <c r="F38" s="75" t="b">
        <v>0</v>
      </c>
      <c r="G38" s="70" t="b">
        <v>0</v>
      </c>
      <c r="H38" s="70" t="b">
        <v>0</v>
      </c>
      <c r="I38" s="76" t="b">
        <v>0</v>
      </c>
      <c r="J38" s="70" t="b">
        <v>0</v>
      </c>
      <c r="K38" s="75" t="b">
        <v>0</v>
      </c>
      <c r="L38" s="70" t="b">
        <v>0</v>
      </c>
      <c r="M38" s="70" t="b">
        <v>0</v>
      </c>
      <c r="N38" s="1" t="e">
        <f t="array" aca="1" ref="N38" ca="1">_xludf.XLOOKUP(A38,'3. 도서별 작업 현황'!A:A,'3. 도서별 작업 현황'!Z:Z,"")</f>
        <v>#NAME?</v>
      </c>
    </row>
    <row r="39" spans="1:14" ht="22.5" customHeight="1">
      <c r="A39" s="1" t="str">
        <f ca="1">IFERROR(__xludf.DUMMYFUNCTION("""COMPUTED_VALUE"""),"SS0038")</f>
        <v>SS0038</v>
      </c>
      <c r="B39" s="1" t="e">
        <f t="array" aca="1" ref="B39" ca="1">_xludf.XLOOKUP(A39, 도서_정보[ID], 도서_정보[도서명], "")</f>
        <v>#NAME?</v>
      </c>
      <c r="C39" s="1" t="e">
        <f t="array" aca="1" ref="C39" ca="1">_xludf.XLOOKUP(A39, 도서_정보[ID], 도서_정보[작업 페이지], "")</f>
        <v>#NAME?</v>
      </c>
      <c r="D39" s="70" t="b">
        <v>0</v>
      </c>
      <c r="E39" s="70" t="b">
        <v>0</v>
      </c>
      <c r="F39" s="77" t="b">
        <v>0</v>
      </c>
      <c r="G39" s="70" t="b">
        <v>0</v>
      </c>
      <c r="H39" s="70" t="b">
        <v>0</v>
      </c>
      <c r="I39" s="76" t="b">
        <v>0</v>
      </c>
      <c r="J39" s="70" t="b">
        <v>0</v>
      </c>
      <c r="K39" s="77" t="b">
        <v>0</v>
      </c>
      <c r="L39" s="70" t="b">
        <v>0</v>
      </c>
      <c r="M39" s="70" t="b">
        <v>0</v>
      </c>
      <c r="N39" s="1" t="e">
        <f t="array" aca="1" ref="N39" ca="1">_xludf.XLOOKUP(A39,'3. 도서별 작업 현황'!A:A,'3. 도서별 작업 현황'!Z:Z,"")</f>
        <v>#NAME?</v>
      </c>
    </row>
    <row r="40" spans="1:14" ht="22.5" customHeight="1">
      <c r="A40" s="1" t="str">
        <f ca="1">IFERROR(__xludf.DUMMYFUNCTION("""COMPUTED_VALUE"""),"SS0039")</f>
        <v>SS0039</v>
      </c>
      <c r="B40" s="1" t="e">
        <f t="array" aca="1" ref="B40" ca="1">_xludf.XLOOKUP(A40, 도서_정보[ID], 도서_정보[도서명], "")</f>
        <v>#NAME?</v>
      </c>
      <c r="C40" s="1" t="e">
        <f t="array" aca="1" ref="C40" ca="1">_xludf.XLOOKUP(A40, 도서_정보[ID], 도서_정보[작업 페이지], "")</f>
        <v>#NAME?</v>
      </c>
      <c r="D40" s="70" t="b">
        <v>0</v>
      </c>
      <c r="E40" s="70" t="b">
        <v>0</v>
      </c>
      <c r="F40" s="75" t="b">
        <v>0</v>
      </c>
      <c r="G40" s="70" t="b">
        <v>0</v>
      </c>
      <c r="H40" s="70" t="b">
        <v>0</v>
      </c>
      <c r="I40" s="76" t="b">
        <v>0</v>
      </c>
      <c r="J40" s="70" t="b">
        <v>0</v>
      </c>
      <c r="K40" s="75" t="b">
        <v>0</v>
      </c>
      <c r="L40" s="70" t="b">
        <v>0</v>
      </c>
      <c r="M40" s="70" t="b">
        <v>0</v>
      </c>
      <c r="N40" s="1" t="e">
        <f t="array" aca="1" ref="N40" ca="1">_xludf.XLOOKUP(A40,'3. 도서별 작업 현황'!A:A,'3. 도서별 작업 현황'!Z:Z,"")</f>
        <v>#NAME?</v>
      </c>
    </row>
    <row r="41" spans="1:14" ht="22.5" customHeight="1">
      <c r="A41" s="1" t="str">
        <f ca="1">IFERROR(__xludf.DUMMYFUNCTION("""COMPUTED_VALUE"""),"SS0040")</f>
        <v>SS0040</v>
      </c>
      <c r="B41" s="1" t="e">
        <f t="array" aca="1" ref="B41" ca="1">_xludf.XLOOKUP(A41, 도서_정보[ID], 도서_정보[도서명], "")</f>
        <v>#NAME?</v>
      </c>
      <c r="C41" s="1" t="e">
        <f t="array" aca="1" ref="C41" ca="1">_xludf.XLOOKUP(A41, 도서_정보[ID], 도서_정보[작업 페이지], "")</f>
        <v>#NAME?</v>
      </c>
      <c r="D41" s="70" t="b">
        <v>0</v>
      </c>
      <c r="E41" s="70" t="b">
        <v>0</v>
      </c>
      <c r="F41" s="77" t="b">
        <v>0</v>
      </c>
      <c r="G41" s="70" t="b">
        <v>0</v>
      </c>
      <c r="H41" s="70" t="b">
        <v>0</v>
      </c>
      <c r="I41" s="76" t="b">
        <v>0</v>
      </c>
      <c r="J41" s="70" t="b">
        <v>0</v>
      </c>
      <c r="K41" s="77" t="b">
        <v>0</v>
      </c>
      <c r="L41" s="70" t="b">
        <v>0</v>
      </c>
      <c r="M41" s="70" t="b">
        <v>0</v>
      </c>
      <c r="N41" s="1" t="e">
        <f t="array" aca="1" ref="N41" ca="1">_xludf.XLOOKUP(A41,'3. 도서별 작업 현황'!A:A,'3. 도서별 작업 현황'!Z:Z,"")</f>
        <v>#NAME?</v>
      </c>
    </row>
    <row r="42" spans="1:14" ht="22.5" customHeight="1">
      <c r="A42" s="1" t="str">
        <f ca="1">IFERROR(__xludf.DUMMYFUNCTION("""COMPUTED_VALUE"""),"SS0041")</f>
        <v>SS0041</v>
      </c>
      <c r="B42" s="1" t="e">
        <f t="array" aca="1" ref="B42" ca="1">_xludf.XLOOKUP(A42, 도서_정보[ID], 도서_정보[도서명], "")</f>
        <v>#NAME?</v>
      </c>
      <c r="C42" s="1" t="e">
        <f t="array" aca="1" ref="C42" ca="1">_xludf.XLOOKUP(A42, 도서_정보[ID], 도서_정보[작업 페이지], "")</f>
        <v>#NAME?</v>
      </c>
      <c r="D42" s="70" t="b">
        <v>0</v>
      </c>
      <c r="E42" s="70" t="b">
        <v>0</v>
      </c>
      <c r="F42" s="75" t="b">
        <v>0</v>
      </c>
      <c r="G42" s="70" t="b">
        <v>0</v>
      </c>
      <c r="H42" s="70" t="b">
        <v>0</v>
      </c>
      <c r="I42" s="76" t="b">
        <v>0</v>
      </c>
      <c r="J42" s="70" t="b">
        <v>0</v>
      </c>
      <c r="K42" s="75" t="b">
        <v>0</v>
      </c>
      <c r="L42" s="70" t="b">
        <v>0</v>
      </c>
      <c r="M42" s="70" t="b">
        <v>0</v>
      </c>
      <c r="N42" s="1" t="e">
        <f t="array" aca="1" ref="N42" ca="1">_xludf.XLOOKUP(A42,'3. 도서별 작업 현황'!A:A,'3. 도서별 작업 현황'!Z:Z,"")</f>
        <v>#NAME?</v>
      </c>
    </row>
    <row r="43" spans="1:14" ht="22.5" customHeight="1">
      <c r="A43" s="1" t="str">
        <f ca="1">IFERROR(__xludf.DUMMYFUNCTION("""COMPUTED_VALUE"""),"SS0042")</f>
        <v>SS0042</v>
      </c>
      <c r="B43" s="1" t="e">
        <f t="array" aca="1" ref="B43" ca="1">_xludf.XLOOKUP(A43, 도서_정보[ID], 도서_정보[도서명], "")</f>
        <v>#NAME?</v>
      </c>
      <c r="C43" s="1" t="e">
        <f t="array" aca="1" ref="C43" ca="1">_xludf.XLOOKUP(A43, 도서_정보[ID], 도서_정보[작업 페이지], "")</f>
        <v>#NAME?</v>
      </c>
      <c r="D43" s="70" t="b">
        <v>0</v>
      </c>
      <c r="E43" s="70" t="b">
        <v>0</v>
      </c>
      <c r="F43" s="77" t="b">
        <v>0</v>
      </c>
      <c r="G43" s="70" t="b">
        <v>0</v>
      </c>
      <c r="H43" s="70" t="b">
        <v>0</v>
      </c>
      <c r="I43" s="76" t="b">
        <v>0</v>
      </c>
      <c r="J43" s="70" t="b">
        <v>0</v>
      </c>
      <c r="K43" s="77" t="b">
        <v>0</v>
      </c>
      <c r="L43" s="70" t="b">
        <v>0</v>
      </c>
      <c r="M43" s="70" t="b">
        <v>0</v>
      </c>
      <c r="N43" s="1" t="e">
        <f t="array" aca="1" ref="N43" ca="1">_xludf.XLOOKUP(A43,'3. 도서별 작업 현황'!A:A,'3. 도서별 작업 현황'!Z:Z,"")</f>
        <v>#NAME?</v>
      </c>
    </row>
    <row r="44" spans="1:14" ht="22.5" customHeight="1">
      <c r="A44" s="1" t="str">
        <f ca="1">IFERROR(__xludf.DUMMYFUNCTION("""COMPUTED_VALUE"""),"SS0043")</f>
        <v>SS0043</v>
      </c>
      <c r="B44" s="1" t="e">
        <f t="array" aca="1" ref="B44" ca="1">_xludf.XLOOKUP(A44, 도서_정보[ID], 도서_정보[도서명], "")</f>
        <v>#NAME?</v>
      </c>
      <c r="C44" s="1" t="e">
        <f t="array" aca="1" ref="C44" ca="1">_xludf.XLOOKUP(A44, 도서_정보[ID], 도서_정보[작업 페이지], "")</f>
        <v>#NAME?</v>
      </c>
      <c r="D44" s="70" t="b">
        <v>0</v>
      </c>
      <c r="E44" s="70" t="b">
        <v>0</v>
      </c>
      <c r="F44" s="75" t="b">
        <v>0</v>
      </c>
      <c r="G44" s="70" t="b">
        <v>0</v>
      </c>
      <c r="H44" s="70" t="b">
        <v>0</v>
      </c>
      <c r="I44" s="76" t="b">
        <v>0</v>
      </c>
      <c r="J44" s="70" t="b">
        <v>0</v>
      </c>
      <c r="K44" s="75" t="b">
        <v>0</v>
      </c>
      <c r="L44" s="70" t="b">
        <v>0</v>
      </c>
      <c r="M44" s="70" t="b">
        <v>0</v>
      </c>
      <c r="N44" s="1" t="e">
        <f t="array" aca="1" ref="N44" ca="1">_xludf.XLOOKUP(A44,'3. 도서별 작업 현황'!A:A,'3. 도서별 작업 현황'!Z:Z,"")</f>
        <v>#NAME?</v>
      </c>
    </row>
    <row r="45" spans="1:14" ht="22.5" customHeight="1">
      <c r="A45" s="1" t="str">
        <f ca="1">IFERROR(__xludf.DUMMYFUNCTION("""COMPUTED_VALUE"""),"SS0044")</f>
        <v>SS0044</v>
      </c>
      <c r="B45" s="1" t="e">
        <f t="array" aca="1" ref="B45" ca="1">_xludf.XLOOKUP(A45, 도서_정보[ID], 도서_정보[도서명], "")</f>
        <v>#NAME?</v>
      </c>
      <c r="C45" s="1" t="e">
        <f t="array" aca="1" ref="C45" ca="1">_xludf.XLOOKUP(A45, 도서_정보[ID], 도서_정보[작업 페이지], "")</f>
        <v>#NAME?</v>
      </c>
      <c r="D45" s="70" t="b">
        <v>0</v>
      </c>
      <c r="E45" s="70" t="b">
        <v>0</v>
      </c>
      <c r="F45" s="77" t="b">
        <v>0</v>
      </c>
      <c r="G45" s="70" t="b">
        <v>0</v>
      </c>
      <c r="H45" s="70" t="b">
        <v>0</v>
      </c>
      <c r="I45" s="76" t="b">
        <v>0</v>
      </c>
      <c r="J45" s="70" t="b">
        <v>0</v>
      </c>
      <c r="K45" s="77" t="b">
        <v>0</v>
      </c>
      <c r="L45" s="70" t="b">
        <v>0</v>
      </c>
      <c r="M45" s="70" t="b">
        <v>0</v>
      </c>
      <c r="N45" s="1" t="e">
        <f t="array" aca="1" ref="N45" ca="1">_xludf.XLOOKUP(A45,'3. 도서별 작업 현황'!A:A,'3. 도서별 작업 현황'!Z:Z,"")</f>
        <v>#NAME?</v>
      </c>
    </row>
    <row r="46" spans="1:14" ht="22.5" customHeight="1">
      <c r="A46" s="1" t="str">
        <f ca="1">IFERROR(__xludf.DUMMYFUNCTION("""COMPUTED_VALUE"""),"SS0045")</f>
        <v>SS0045</v>
      </c>
      <c r="B46" s="1" t="e">
        <f t="array" aca="1" ref="B46" ca="1">_xludf.XLOOKUP(A46, 도서_정보[ID], 도서_정보[도서명], "")</f>
        <v>#NAME?</v>
      </c>
      <c r="C46" s="1" t="e">
        <f t="array" aca="1" ref="C46" ca="1">_xludf.XLOOKUP(A46, 도서_정보[ID], 도서_정보[작업 페이지], "")</f>
        <v>#NAME?</v>
      </c>
      <c r="D46" s="70" t="b">
        <v>0</v>
      </c>
      <c r="E46" s="70" t="b">
        <v>0</v>
      </c>
      <c r="F46" s="75" t="b">
        <v>0</v>
      </c>
      <c r="G46" s="70" t="b">
        <v>0</v>
      </c>
      <c r="H46" s="70" t="b">
        <v>0</v>
      </c>
      <c r="I46" s="76" t="b">
        <v>0</v>
      </c>
      <c r="J46" s="70" t="b">
        <v>0</v>
      </c>
      <c r="K46" s="75" t="b">
        <v>0</v>
      </c>
      <c r="L46" s="70" t="b">
        <v>0</v>
      </c>
      <c r="M46" s="70" t="b">
        <v>0</v>
      </c>
      <c r="N46" s="1" t="e">
        <f t="array" aca="1" ref="N46" ca="1">_xludf.XLOOKUP(A46,'3. 도서별 작업 현황'!A:A,'3. 도서별 작업 현황'!Z:Z,"")</f>
        <v>#NAME?</v>
      </c>
    </row>
    <row r="47" spans="1:14" ht="22.5" customHeight="1">
      <c r="A47" s="1" t="str">
        <f ca="1">IFERROR(__xludf.DUMMYFUNCTION("""COMPUTED_VALUE"""),"SS0046")</f>
        <v>SS0046</v>
      </c>
      <c r="B47" s="1" t="e">
        <f t="array" aca="1" ref="B47" ca="1">_xludf.XLOOKUP(A47, 도서_정보[ID], 도서_정보[도서명], "")</f>
        <v>#NAME?</v>
      </c>
      <c r="C47" s="1" t="e">
        <f t="array" aca="1" ref="C47" ca="1">_xludf.XLOOKUP(A47, 도서_정보[ID], 도서_정보[작업 페이지], "")</f>
        <v>#NAME?</v>
      </c>
      <c r="D47" s="70" t="b">
        <v>0</v>
      </c>
      <c r="E47" s="70" t="b">
        <v>0</v>
      </c>
      <c r="F47" s="77" t="b">
        <v>0</v>
      </c>
      <c r="G47" s="70" t="b">
        <v>0</v>
      </c>
      <c r="H47" s="70" t="b">
        <v>0</v>
      </c>
      <c r="I47" s="76" t="b">
        <v>0</v>
      </c>
      <c r="J47" s="70" t="b">
        <v>0</v>
      </c>
      <c r="K47" s="77" t="b">
        <v>0</v>
      </c>
      <c r="L47" s="70" t="b">
        <v>0</v>
      </c>
      <c r="M47" s="70" t="b">
        <v>0</v>
      </c>
      <c r="N47" s="1" t="e">
        <f t="array" aca="1" ref="N47" ca="1">_xludf.XLOOKUP(A47,'3. 도서별 작업 현황'!A:A,'3. 도서별 작업 현황'!Z:Z,"")</f>
        <v>#NAME?</v>
      </c>
    </row>
    <row r="48" spans="1:14" ht="22.5" customHeight="1">
      <c r="A48" s="1" t="str">
        <f ca="1">IFERROR(__xludf.DUMMYFUNCTION("""COMPUTED_VALUE"""),"SS0047")</f>
        <v>SS0047</v>
      </c>
      <c r="B48" s="1" t="e">
        <f t="array" aca="1" ref="B48" ca="1">_xludf.XLOOKUP(A48, 도서_정보[ID], 도서_정보[도서명], "")</f>
        <v>#NAME?</v>
      </c>
      <c r="C48" s="1" t="e">
        <f t="array" aca="1" ref="C48" ca="1">_xludf.XLOOKUP(A48, 도서_정보[ID], 도서_정보[작업 페이지], "")</f>
        <v>#NAME?</v>
      </c>
      <c r="D48" s="70" t="b">
        <v>0</v>
      </c>
      <c r="E48" s="70" t="b">
        <v>0</v>
      </c>
      <c r="F48" s="75" t="b">
        <v>0</v>
      </c>
      <c r="G48" s="70" t="b">
        <v>0</v>
      </c>
      <c r="H48" s="70" t="b">
        <v>0</v>
      </c>
      <c r="I48" s="76" t="b">
        <v>0</v>
      </c>
      <c r="J48" s="70" t="b">
        <v>0</v>
      </c>
      <c r="K48" s="75" t="b">
        <v>0</v>
      </c>
      <c r="L48" s="70" t="b">
        <v>0</v>
      </c>
      <c r="M48" s="70" t="b">
        <v>0</v>
      </c>
      <c r="N48" s="1" t="e">
        <f t="array" aca="1" ref="N48" ca="1">_xludf.XLOOKUP(A48,'3. 도서별 작업 현황'!A:A,'3. 도서별 작업 현황'!Z:Z,"")</f>
        <v>#NAME?</v>
      </c>
    </row>
    <row r="49" spans="1:14" ht="22.5" customHeight="1">
      <c r="A49" s="1" t="str">
        <f ca="1">IFERROR(__xludf.DUMMYFUNCTION("""COMPUTED_VALUE"""),"SS0048")</f>
        <v>SS0048</v>
      </c>
      <c r="B49" s="1" t="e">
        <f t="array" aca="1" ref="B49" ca="1">_xludf.XLOOKUP(A49, 도서_정보[ID], 도서_정보[도서명], "")</f>
        <v>#NAME?</v>
      </c>
      <c r="C49" s="1" t="e">
        <f t="array" aca="1" ref="C49" ca="1">_xludf.XLOOKUP(A49, 도서_정보[ID], 도서_정보[작업 페이지], "")</f>
        <v>#NAME?</v>
      </c>
      <c r="D49" s="70" t="b">
        <v>0</v>
      </c>
      <c r="E49" s="70" t="b">
        <v>0</v>
      </c>
      <c r="F49" s="77" t="b">
        <v>0</v>
      </c>
      <c r="G49" s="70" t="b">
        <v>0</v>
      </c>
      <c r="H49" s="70" t="b">
        <v>0</v>
      </c>
      <c r="I49" s="76" t="b">
        <v>0</v>
      </c>
      <c r="J49" s="70" t="b">
        <v>0</v>
      </c>
      <c r="K49" s="77" t="b">
        <v>0</v>
      </c>
      <c r="L49" s="70" t="b">
        <v>0</v>
      </c>
      <c r="M49" s="70" t="b">
        <v>0</v>
      </c>
      <c r="N49" s="1" t="e">
        <f t="array" aca="1" ref="N49" ca="1">_xludf.XLOOKUP(A49,'3. 도서별 작업 현황'!A:A,'3. 도서별 작업 현황'!Z:Z,"")</f>
        <v>#NAME?</v>
      </c>
    </row>
    <row r="50" spans="1:14" ht="22.5" customHeight="1">
      <c r="A50" s="1" t="str">
        <f ca="1">IFERROR(__xludf.DUMMYFUNCTION("""COMPUTED_VALUE"""),"SS0049")</f>
        <v>SS0049</v>
      </c>
      <c r="B50" s="1" t="e">
        <f t="array" aca="1" ref="B50" ca="1">_xludf.XLOOKUP(A50, 도서_정보[ID], 도서_정보[도서명], "")</f>
        <v>#NAME?</v>
      </c>
      <c r="C50" s="1" t="e">
        <f t="array" aca="1" ref="C50" ca="1">_xludf.XLOOKUP(A50, 도서_정보[ID], 도서_정보[작업 페이지], "")</f>
        <v>#NAME?</v>
      </c>
      <c r="D50" s="70" t="b">
        <v>0</v>
      </c>
      <c r="E50" s="70" t="b">
        <v>0</v>
      </c>
      <c r="F50" s="75" t="b">
        <v>0</v>
      </c>
      <c r="G50" s="70" t="b">
        <v>0</v>
      </c>
      <c r="H50" s="70" t="b">
        <v>0</v>
      </c>
      <c r="I50" s="76" t="b">
        <v>0</v>
      </c>
      <c r="J50" s="70" t="b">
        <v>0</v>
      </c>
      <c r="K50" s="75" t="b">
        <v>0</v>
      </c>
      <c r="L50" s="70" t="b">
        <v>0</v>
      </c>
      <c r="M50" s="70" t="b">
        <v>0</v>
      </c>
      <c r="N50" s="1" t="e">
        <f t="array" aca="1" ref="N50" ca="1">_xludf.XLOOKUP(A50,'3. 도서별 작업 현황'!A:A,'3. 도서별 작업 현황'!Z:Z,"")</f>
        <v>#NAME?</v>
      </c>
    </row>
    <row r="51" spans="1:14" ht="22.5" customHeight="1">
      <c r="A51" s="1" t="str">
        <f ca="1">IFERROR(__xludf.DUMMYFUNCTION("""COMPUTED_VALUE"""),"SS0050")</f>
        <v>SS0050</v>
      </c>
      <c r="B51" s="1" t="e">
        <f t="array" aca="1" ref="B51" ca="1">_xludf.XLOOKUP(A51, 도서_정보[ID], 도서_정보[도서명], "")</f>
        <v>#NAME?</v>
      </c>
      <c r="C51" s="1" t="e">
        <f t="array" aca="1" ref="C51" ca="1">_xludf.XLOOKUP(A51, 도서_정보[ID], 도서_정보[작업 페이지], "")</f>
        <v>#NAME?</v>
      </c>
      <c r="D51" s="70" t="b">
        <v>0</v>
      </c>
      <c r="E51" s="70" t="b">
        <v>0</v>
      </c>
      <c r="F51" s="77" t="b">
        <v>0</v>
      </c>
      <c r="G51" s="70" t="b">
        <v>0</v>
      </c>
      <c r="H51" s="70" t="b">
        <v>0</v>
      </c>
      <c r="I51" s="76" t="b">
        <v>0</v>
      </c>
      <c r="J51" s="70" t="b">
        <v>0</v>
      </c>
      <c r="K51" s="77" t="b">
        <v>0</v>
      </c>
      <c r="L51" s="70" t="b">
        <v>0</v>
      </c>
      <c r="M51" s="70" t="b">
        <v>0</v>
      </c>
      <c r="N51" s="1" t="e">
        <f t="array" aca="1" ref="N51" ca="1">_xludf.XLOOKUP(A51,'3. 도서별 작업 현황'!A:A,'3. 도서별 작업 현황'!Z:Z,"")</f>
        <v>#NAME?</v>
      </c>
    </row>
    <row r="52" spans="1:14" ht="22.5" customHeight="1">
      <c r="A52" s="1" t="str">
        <f ca="1">IFERROR(__xludf.DUMMYFUNCTION("""COMPUTED_VALUE"""),"SS0051")</f>
        <v>SS0051</v>
      </c>
      <c r="B52" s="1" t="e">
        <f t="array" aca="1" ref="B52" ca="1">_xludf.XLOOKUP(A52, 도서_정보[ID], 도서_정보[도서명], "")</f>
        <v>#NAME?</v>
      </c>
      <c r="C52" s="1" t="e">
        <f t="array" aca="1" ref="C52" ca="1">_xludf.XLOOKUP(A52, 도서_정보[ID], 도서_정보[작업 페이지], "")</f>
        <v>#NAME?</v>
      </c>
      <c r="D52" s="70" t="b">
        <v>0</v>
      </c>
      <c r="E52" s="70" t="b">
        <v>0</v>
      </c>
      <c r="F52" s="75" t="b">
        <v>0</v>
      </c>
      <c r="G52" s="70" t="b">
        <v>0</v>
      </c>
      <c r="H52" s="70" t="b">
        <v>0</v>
      </c>
      <c r="I52" s="76" t="b">
        <v>0</v>
      </c>
      <c r="J52" s="70" t="b">
        <v>0</v>
      </c>
      <c r="K52" s="75" t="b">
        <v>0</v>
      </c>
      <c r="L52" s="70" t="b">
        <v>0</v>
      </c>
      <c r="M52" s="70" t="b">
        <v>0</v>
      </c>
      <c r="N52" s="1" t="e">
        <f t="array" aca="1" ref="N52" ca="1">_xludf.XLOOKUP(A52,'3. 도서별 작업 현황'!A:A,'3. 도서별 작업 현황'!Z:Z,"")</f>
        <v>#NAME?</v>
      </c>
    </row>
    <row r="53" spans="1:14" ht="22.5" customHeight="1">
      <c r="A53" s="1" t="str">
        <f ca="1">IFERROR(__xludf.DUMMYFUNCTION("""COMPUTED_VALUE"""),"SS0052")</f>
        <v>SS0052</v>
      </c>
      <c r="B53" s="1" t="e">
        <f t="array" aca="1" ref="B53" ca="1">_xludf.XLOOKUP(A53, 도서_정보[ID], 도서_정보[도서명], "")</f>
        <v>#NAME?</v>
      </c>
      <c r="C53" s="1" t="e">
        <f t="array" aca="1" ref="C53" ca="1">_xludf.XLOOKUP(A53, 도서_정보[ID], 도서_정보[작업 페이지], "")</f>
        <v>#NAME?</v>
      </c>
      <c r="D53" s="70" t="b">
        <v>0</v>
      </c>
      <c r="E53" s="70" t="b">
        <v>0</v>
      </c>
      <c r="F53" s="77" t="b">
        <v>0</v>
      </c>
      <c r="G53" s="70" t="b">
        <v>0</v>
      </c>
      <c r="H53" s="70" t="b">
        <v>0</v>
      </c>
      <c r="I53" s="76" t="b">
        <v>0</v>
      </c>
      <c r="J53" s="70" t="b">
        <v>0</v>
      </c>
      <c r="K53" s="77" t="b">
        <v>0</v>
      </c>
      <c r="L53" s="70" t="b">
        <v>0</v>
      </c>
      <c r="M53" s="70" t="b">
        <v>0</v>
      </c>
      <c r="N53" s="1" t="e">
        <f t="array" aca="1" ref="N53" ca="1">_xludf.XLOOKUP(A53,'3. 도서별 작업 현황'!A:A,'3. 도서별 작업 현황'!Z:Z,"")</f>
        <v>#NAME?</v>
      </c>
    </row>
    <row r="54" spans="1:14" ht="22.5" customHeight="1">
      <c r="A54" s="1" t="str">
        <f ca="1">IFERROR(__xludf.DUMMYFUNCTION("""COMPUTED_VALUE"""),"SS0053")</f>
        <v>SS0053</v>
      </c>
      <c r="B54" s="1" t="e">
        <f t="array" aca="1" ref="B54" ca="1">_xludf.XLOOKUP(A54, 도서_정보[ID], 도서_정보[도서명], "")</f>
        <v>#NAME?</v>
      </c>
      <c r="C54" s="1" t="e">
        <f t="array" aca="1" ref="C54" ca="1">_xludf.XLOOKUP(A54, 도서_정보[ID], 도서_정보[작업 페이지], "")</f>
        <v>#NAME?</v>
      </c>
      <c r="D54" s="70" t="b">
        <v>0</v>
      </c>
      <c r="E54" s="70" t="b">
        <v>0</v>
      </c>
      <c r="F54" s="75" t="b">
        <v>0</v>
      </c>
      <c r="G54" s="70" t="b">
        <v>0</v>
      </c>
      <c r="H54" s="70" t="b">
        <v>0</v>
      </c>
      <c r="I54" s="76" t="b">
        <v>0</v>
      </c>
      <c r="J54" s="70" t="b">
        <v>0</v>
      </c>
      <c r="K54" s="75" t="b">
        <v>0</v>
      </c>
      <c r="L54" s="70" t="b">
        <v>0</v>
      </c>
      <c r="M54" s="70" t="b">
        <v>0</v>
      </c>
      <c r="N54" s="1" t="e">
        <f t="array" aca="1" ref="N54" ca="1">_xludf.XLOOKUP(A54,'3. 도서별 작업 현황'!A:A,'3. 도서별 작업 현황'!Z:Z,"")</f>
        <v>#NAME?</v>
      </c>
    </row>
    <row r="55" spans="1:14" ht="22.5" customHeight="1">
      <c r="A55" s="1" t="str">
        <f ca="1">IFERROR(__xludf.DUMMYFUNCTION("""COMPUTED_VALUE"""),"SS0054")</f>
        <v>SS0054</v>
      </c>
      <c r="B55" s="1" t="e">
        <f t="array" aca="1" ref="B55" ca="1">_xludf.XLOOKUP(A55, 도서_정보[ID], 도서_정보[도서명], "")</f>
        <v>#NAME?</v>
      </c>
      <c r="C55" s="1" t="e">
        <f t="array" aca="1" ref="C55" ca="1">_xludf.XLOOKUP(A55, 도서_정보[ID], 도서_정보[작업 페이지], "")</f>
        <v>#NAME?</v>
      </c>
      <c r="D55" s="70" t="b">
        <v>0</v>
      </c>
      <c r="E55" s="70" t="b">
        <v>0</v>
      </c>
      <c r="F55" s="77" t="b">
        <v>0</v>
      </c>
      <c r="G55" s="70" t="b">
        <v>0</v>
      </c>
      <c r="H55" s="70" t="b">
        <v>0</v>
      </c>
      <c r="I55" s="76" t="b">
        <v>0</v>
      </c>
      <c r="J55" s="70" t="b">
        <v>0</v>
      </c>
      <c r="K55" s="77" t="b">
        <v>0</v>
      </c>
      <c r="L55" s="70" t="b">
        <v>0</v>
      </c>
      <c r="M55" s="70" t="b">
        <v>0</v>
      </c>
      <c r="N55" s="1" t="e">
        <f t="array" aca="1" ref="N55" ca="1">_xludf.XLOOKUP(A55,'3. 도서별 작업 현황'!A:A,'3. 도서별 작업 현황'!Z:Z,"")</f>
        <v>#NAME?</v>
      </c>
    </row>
    <row r="56" spans="1:14" ht="22.5" customHeight="1">
      <c r="A56" s="1" t="str">
        <f ca="1">IFERROR(__xludf.DUMMYFUNCTION("""COMPUTED_VALUE"""),"SS0055")</f>
        <v>SS0055</v>
      </c>
      <c r="B56" s="1" t="e">
        <f t="array" aca="1" ref="B56" ca="1">_xludf.XLOOKUP(A56, 도서_정보[ID], 도서_정보[도서명], "")</f>
        <v>#NAME?</v>
      </c>
      <c r="C56" s="1" t="e">
        <f t="array" aca="1" ref="C56" ca="1">_xludf.XLOOKUP(A56, 도서_정보[ID], 도서_정보[작업 페이지], "")</f>
        <v>#NAME?</v>
      </c>
      <c r="D56" s="70" t="b">
        <v>0</v>
      </c>
      <c r="E56" s="70" t="b">
        <v>0</v>
      </c>
      <c r="F56" s="75" t="b">
        <v>0</v>
      </c>
      <c r="G56" s="70" t="b">
        <v>0</v>
      </c>
      <c r="H56" s="70" t="b">
        <v>0</v>
      </c>
      <c r="I56" s="76" t="b">
        <v>0</v>
      </c>
      <c r="J56" s="70" t="b">
        <v>0</v>
      </c>
      <c r="K56" s="75" t="b">
        <v>0</v>
      </c>
      <c r="L56" s="70" t="b">
        <v>0</v>
      </c>
      <c r="M56" s="70" t="b">
        <v>0</v>
      </c>
      <c r="N56" s="1" t="e">
        <f t="array" aca="1" ref="N56" ca="1">_xludf.XLOOKUP(A56,'3. 도서별 작업 현황'!A:A,'3. 도서별 작업 현황'!Z:Z,"")</f>
        <v>#NAME?</v>
      </c>
    </row>
    <row r="57" spans="1:14" ht="22.5" customHeight="1">
      <c r="A57" s="1" t="str">
        <f ca="1">IFERROR(__xludf.DUMMYFUNCTION("""COMPUTED_VALUE"""),"SS0056")</f>
        <v>SS0056</v>
      </c>
      <c r="B57" s="1" t="e">
        <f t="array" aca="1" ref="B57" ca="1">_xludf.XLOOKUP(A57, 도서_정보[ID], 도서_정보[도서명], "")</f>
        <v>#NAME?</v>
      </c>
      <c r="C57" s="1" t="e">
        <f t="array" aca="1" ref="C57" ca="1">_xludf.XLOOKUP(A57, 도서_정보[ID], 도서_정보[작업 페이지], "")</f>
        <v>#NAME?</v>
      </c>
      <c r="D57" s="70" t="b">
        <v>0</v>
      </c>
      <c r="E57" s="70" t="b">
        <v>0</v>
      </c>
      <c r="F57" s="77" t="b">
        <v>0</v>
      </c>
      <c r="G57" s="70" t="b">
        <v>0</v>
      </c>
      <c r="H57" s="70" t="b">
        <v>0</v>
      </c>
      <c r="I57" s="76" t="b">
        <v>0</v>
      </c>
      <c r="J57" s="70" t="b">
        <v>0</v>
      </c>
      <c r="K57" s="77" t="b">
        <v>0</v>
      </c>
      <c r="L57" s="70" t="b">
        <v>0</v>
      </c>
      <c r="M57" s="70" t="b">
        <v>0</v>
      </c>
      <c r="N57" s="1" t="e">
        <f t="array" aca="1" ref="N57" ca="1">_xludf.XLOOKUP(A57,'3. 도서별 작업 현황'!A:A,'3. 도서별 작업 현황'!Z:Z,"")</f>
        <v>#NAME?</v>
      </c>
    </row>
    <row r="58" spans="1:14" ht="22.5" customHeight="1">
      <c r="A58" s="1" t="str">
        <f ca="1">IFERROR(__xludf.DUMMYFUNCTION("""COMPUTED_VALUE"""),"SS0057")</f>
        <v>SS0057</v>
      </c>
      <c r="B58" s="1" t="e">
        <f t="array" aca="1" ref="B58" ca="1">_xludf.XLOOKUP(A58, 도서_정보[ID], 도서_정보[도서명], "")</f>
        <v>#NAME?</v>
      </c>
      <c r="C58" s="1" t="e">
        <f t="array" aca="1" ref="C58" ca="1">_xludf.XLOOKUP(A58, 도서_정보[ID], 도서_정보[작업 페이지], "")</f>
        <v>#NAME?</v>
      </c>
      <c r="D58" s="70" t="b">
        <v>0</v>
      </c>
      <c r="E58" s="70" t="b">
        <v>0</v>
      </c>
      <c r="F58" s="75" t="b">
        <v>0</v>
      </c>
      <c r="G58" s="70" t="b">
        <v>0</v>
      </c>
      <c r="H58" s="70" t="b">
        <v>0</v>
      </c>
      <c r="I58" s="76" t="b">
        <v>0</v>
      </c>
      <c r="J58" s="70" t="b">
        <v>0</v>
      </c>
      <c r="K58" s="75" t="b">
        <v>0</v>
      </c>
      <c r="L58" s="70" t="b">
        <v>0</v>
      </c>
      <c r="M58" s="70" t="b">
        <v>0</v>
      </c>
      <c r="N58" s="1" t="e">
        <f t="array" aca="1" ref="N58" ca="1">_xludf.XLOOKUP(A58,'3. 도서별 작업 현황'!A:A,'3. 도서별 작업 현황'!Z:Z,"")</f>
        <v>#NAME?</v>
      </c>
    </row>
    <row r="59" spans="1:14" ht="22.5" customHeight="1">
      <c r="A59" s="1" t="str">
        <f ca="1">IFERROR(__xludf.DUMMYFUNCTION("""COMPUTED_VALUE"""),"SS0058")</f>
        <v>SS0058</v>
      </c>
      <c r="B59" s="1" t="e">
        <f t="array" aca="1" ref="B59" ca="1">_xludf.XLOOKUP(A59, 도서_정보[ID], 도서_정보[도서명], "")</f>
        <v>#NAME?</v>
      </c>
      <c r="C59" s="1" t="e">
        <f t="array" aca="1" ref="C59" ca="1">_xludf.XLOOKUP(A59, 도서_정보[ID], 도서_정보[작업 페이지], "")</f>
        <v>#NAME?</v>
      </c>
      <c r="D59" s="70" t="b">
        <v>0</v>
      </c>
      <c r="E59" s="70" t="b">
        <v>0</v>
      </c>
      <c r="F59" s="77" t="b">
        <v>0</v>
      </c>
      <c r="G59" s="70" t="b">
        <v>0</v>
      </c>
      <c r="H59" s="70" t="b">
        <v>0</v>
      </c>
      <c r="I59" s="76" t="b">
        <v>0</v>
      </c>
      <c r="J59" s="70" t="b">
        <v>0</v>
      </c>
      <c r="K59" s="77" t="b">
        <v>0</v>
      </c>
      <c r="L59" s="70" t="b">
        <v>0</v>
      </c>
      <c r="M59" s="70" t="b">
        <v>0</v>
      </c>
      <c r="N59" s="1" t="e">
        <f t="array" aca="1" ref="N59" ca="1">_xludf.XLOOKUP(A59,'3. 도서별 작업 현황'!A:A,'3. 도서별 작업 현황'!Z:Z,"")</f>
        <v>#NAME?</v>
      </c>
    </row>
    <row r="60" spans="1:14" ht="22.5" customHeight="1">
      <c r="A60" s="1" t="str">
        <f ca="1">IFERROR(__xludf.DUMMYFUNCTION("""COMPUTED_VALUE"""),"SS0059")</f>
        <v>SS0059</v>
      </c>
      <c r="B60" s="1" t="e">
        <f t="array" aca="1" ref="B60" ca="1">_xludf.XLOOKUP(A60, 도서_정보[ID], 도서_정보[도서명], "")</f>
        <v>#NAME?</v>
      </c>
      <c r="C60" s="1" t="e">
        <f t="array" aca="1" ref="C60" ca="1">_xludf.XLOOKUP(A60, 도서_정보[ID], 도서_정보[작업 페이지], "")</f>
        <v>#NAME?</v>
      </c>
      <c r="D60" s="70" t="b">
        <v>0</v>
      </c>
      <c r="E60" s="70" t="b">
        <v>0</v>
      </c>
      <c r="F60" s="75" t="b">
        <v>0</v>
      </c>
      <c r="G60" s="70" t="b">
        <v>0</v>
      </c>
      <c r="H60" s="70" t="b">
        <v>0</v>
      </c>
      <c r="I60" s="76" t="b">
        <v>0</v>
      </c>
      <c r="J60" s="70" t="b">
        <v>0</v>
      </c>
      <c r="K60" s="75" t="b">
        <v>0</v>
      </c>
      <c r="L60" s="70" t="b">
        <v>0</v>
      </c>
      <c r="M60" s="70" t="b">
        <v>0</v>
      </c>
      <c r="N60" s="1" t="e">
        <f t="array" aca="1" ref="N60" ca="1">_xludf.XLOOKUP(A60,'3. 도서별 작업 현황'!A:A,'3. 도서별 작업 현황'!Z:Z,"")</f>
        <v>#NAME?</v>
      </c>
    </row>
    <row r="61" spans="1:14" ht="22.5" customHeight="1">
      <c r="A61" s="1" t="str">
        <f ca="1">IFERROR(__xludf.DUMMYFUNCTION("""COMPUTED_VALUE"""),"SS0060")</f>
        <v>SS0060</v>
      </c>
      <c r="B61" s="1" t="e">
        <f t="array" aca="1" ref="B61" ca="1">_xludf.XLOOKUP(A61, 도서_정보[ID], 도서_정보[도서명], "")</f>
        <v>#NAME?</v>
      </c>
      <c r="C61" s="1" t="e">
        <f t="array" aca="1" ref="C61" ca="1">_xludf.XLOOKUP(A61, 도서_정보[ID], 도서_정보[작업 페이지], "")</f>
        <v>#NAME?</v>
      </c>
      <c r="D61" s="70" t="b">
        <v>0</v>
      </c>
      <c r="E61" s="70" t="b">
        <v>0</v>
      </c>
      <c r="F61" s="77" t="b">
        <v>0</v>
      </c>
      <c r="G61" s="70" t="b">
        <v>0</v>
      </c>
      <c r="H61" s="70" t="b">
        <v>0</v>
      </c>
      <c r="I61" s="76" t="b">
        <v>0</v>
      </c>
      <c r="J61" s="70" t="b">
        <v>0</v>
      </c>
      <c r="K61" s="77" t="b">
        <v>0</v>
      </c>
      <c r="L61" s="70" t="b">
        <v>0</v>
      </c>
      <c r="M61" s="70" t="b">
        <v>0</v>
      </c>
      <c r="N61" s="1" t="e">
        <f t="array" aca="1" ref="N61" ca="1">_xludf.XLOOKUP(A61,'3. 도서별 작업 현황'!A:A,'3. 도서별 작업 현황'!Z:Z,"")</f>
        <v>#NAME?</v>
      </c>
    </row>
    <row r="62" spans="1:14" ht="22.5" customHeight="1">
      <c r="A62" s="1" t="str">
        <f ca="1">IFERROR(__xludf.DUMMYFUNCTION("""COMPUTED_VALUE"""),"SS0061")</f>
        <v>SS0061</v>
      </c>
      <c r="B62" s="1" t="e">
        <f t="array" aca="1" ref="B62" ca="1">_xludf.XLOOKUP(A62, 도서_정보[ID], 도서_정보[도서명], "")</f>
        <v>#NAME?</v>
      </c>
      <c r="C62" s="1" t="e">
        <f t="array" aca="1" ref="C62" ca="1">_xludf.XLOOKUP(A62, 도서_정보[ID], 도서_정보[작업 페이지], "")</f>
        <v>#NAME?</v>
      </c>
      <c r="D62" s="70" t="b">
        <v>0</v>
      </c>
      <c r="E62" s="70" t="b">
        <v>0</v>
      </c>
      <c r="F62" s="75" t="b">
        <v>0</v>
      </c>
      <c r="G62" s="70" t="b">
        <v>0</v>
      </c>
      <c r="H62" s="70" t="b">
        <v>0</v>
      </c>
      <c r="I62" s="76" t="b">
        <v>0</v>
      </c>
      <c r="J62" s="70" t="b">
        <v>0</v>
      </c>
      <c r="K62" s="75" t="b">
        <v>0</v>
      </c>
      <c r="L62" s="70" t="b">
        <v>0</v>
      </c>
      <c r="M62" s="70" t="b">
        <v>0</v>
      </c>
      <c r="N62" s="1" t="e">
        <f t="array" aca="1" ref="N62" ca="1">_xludf.XLOOKUP(A62,'3. 도서별 작업 현황'!A:A,'3. 도서별 작업 현황'!Z:Z,"")</f>
        <v>#NAME?</v>
      </c>
    </row>
    <row r="63" spans="1:14" ht="22.5" customHeight="1">
      <c r="A63" s="1" t="str">
        <f ca="1">IFERROR(__xludf.DUMMYFUNCTION("""COMPUTED_VALUE"""),"SS0062")</f>
        <v>SS0062</v>
      </c>
      <c r="B63" s="1" t="e">
        <f t="array" aca="1" ref="B63" ca="1">_xludf.XLOOKUP(A63, 도서_정보[ID], 도서_정보[도서명], "")</f>
        <v>#NAME?</v>
      </c>
      <c r="C63" s="1" t="e">
        <f t="array" aca="1" ref="C63" ca="1">_xludf.XLOOKUP(A63, 도서_정보[ID], 도서_정보[작업 페이지], "")</f>
        <v>#NAME?</v>
      </c>
      <c r="D63" s="70" t="b">
        <v>0</v>
      </c>
      <c r="E63" s="70" t="b">
        <v>0</v>
      </c>
      <c r="F63" s="77" t="b">
        <v>0</v>
      </c>
      <c r="G63" s="70" t="b">
        <v>0</v>
      </c>
      <c r="H63" s="70" t="b">
        <v>0</v>
      </c>
      <c r="I63" s="76" t="b">
        <v>0</v>
      </c>
      <c r="J63" s="70" t="b">
        <v>0</v>
      </c>
      <c r="K63" s="77" t="b">
        <v>0</v>
      </c>
      <c r="L63" s="70" t="b">
        <v>0</v>
      </c>
      <c r="M63" s="70" t="b">
        <v>0</v>
      </c>
      <c r="N63" s="1" t="e">
        <f t="array" aca="1" ref="N63" ca="1">_xludf.XLOOKUP(A63,'3. 도서별 작업 현황'!A:A,'3. 도서별 작업 현황'!Z:Z,"")</f>
        <v>#NAME?</v>
      </c>
    </row>
    <row r="64" spans="1:14" ht="22.5" customHeight="1">
      <c r="A64" s="1" t="str">
        <f ca="1">IFERROR(__xludf.DUMMYFUNCTION("""COMPUTED_VALUE"""),"SS0063")</f>
        <v>SS0063</v>
      </c>
      <c r="B64" s="1" t="e">
        <f t="array" aca="1" ref="B64" ca="1">_xludf.XLOOKUP(A64, 도서_정보[ID], 도서_정보[도서명], "")</f>
        <v>#NAME?</v>
      </c>
      <c r="C64" s="1" t="e">
        <f t="array" aca="1" ref="C64" ca="1">_xludf.XLOOKUP(A64, 도서_정보[ID], 도서_정보[작업 페이지], "")</f>
        <v>#NAME?</v>
      </c>
      <c r="D64" s="70" t="b">
        <v>0</v>
      </c>
      <c r="E64" s="70" t="b">
        <v>0</v>
      </c>
      <c r="F64" s="75" t="b">
        <v>0</v>
      </c>
      <c r="G64" s="70" t="b">
        <v>0</v>
      </c>
      <c r="H64" s="70" t="b">
        <v>0</v>
      </c>
      <c r="I64" s="76" t="b">
        <v>0</v>
      </c>
      <c r="J64" s="70" t="b">
        <v>0</v>
      </c>
      <c r="K64" s="75" t="b">
        <v>0</v>
      </c>
      <c r="L64" s="70" t="b">
        <v>0</v>
      </c>
      <c r="M64" s="70" t="b">
        <v>0</v>
      </c>
      <c r="N64" s="1" t="e">
        <f t="array" aca="1" ref="N64" ca="1">_xludf.XLOOKUP(A64,'3. 도서별 작업 현황'!A:A,'3. 도서별 작업 현황'!Z:Z,"")</f>
        <v>#NAME?</v>
      </c>
    </row>
    <row r="65" spans="1:14" ht="22.5" customHeight="1">
      <c r="A65" s="1" t="str">
        <f ca="1">IFERROR(__xludf.DUMMYFUNCTION("""COMPUTED_VALUE"""),"SS0064")</f>
        <v>SS0064</v>
      </c>
      <c r="B65" s="1" t="e">
        <f t="array" aca="1" ref="B65" ca="1">_xludf.XLOOKUP(A65, 도서_정보[ID], 도서_정보[도서명], "")</f>
        <v>#NAME?</v>
      </c>
      <c r="C65" s="1" t="e">
        <f t="array" aca="1" ref="C65" ca="1">_xludf.XLOOKUP(A65, 도서_정보[ID], 도서_정보[작업 페이지], "")</f>
        <v>#NAME?</v>
      </c>
      <c r="D65" s="70" t="b">
        <v>0</v>
      </c>
      <c r="E65" s="70" t="b">
        <v>0</v>
      </c>
      <c r="F65" s="77" t="b">
        <v>0</v>
      </c>
      <c r="G65" s="70" t="b">
        <v>0</v>
      </c>
      <c r="H65" s="70" t="b">
        <v>0</v>
      </c>
      <c r="I65" s="76" t="b">
        <v>0</v>
      </c>
      <c r="J65" s="70" t="b">
        <v>0</v>
      </c>
      <c r="K65" s="77" t="b">
        <v>0</v>
      </c>
      <c r="L65" s="70" t="b">
        <v>0</v>
      </c>
      <c r="M65" s="70" t="b">
        <v>0</v>
      </c>
      <c r="N65" s="1" t="e">
        <f t="array" aca="1" ref="N65" ca="1">_xludf.XLOOKUP(A65,'3. 도서별 작업 현황'!A:A,'3. 도서별 작업 현황'!Z:Z,"")</f>
        <v>#NAME?</v>
      </c>
    </row>
    <row r="66" spans="1:14" ht="22.5" customHeight="1">
      <c r="A66" s="1" t="str">
        <f ca="1">IFERROR(__xludf.DUMMYFUNCTION("""COMPUTED_VALUE"""),"SS0065")</f>
        <v>SS0065</v>
      </c>
      <c r="B66" s="1" t="e">
        <f t="array" aca="1" ref="B66" ca="1">_xludf.XLOOKUP(A66, 도서_정보[ID], 도서_정보[도서명], "")</f>
        <v>#NAME?</v>
      </c>
      <c r="C66" s="1" t="e">
        <f t="array" aca="1" ref="C66" ca="1">_xludf.XLOOKUP(A66, 도서_정보[ID], 도서_정보[작업 페이지], "")</f>
        <v>#NAME?</v>
      </c>
      <c r="D66" s="70" t="b">
        <v>0</v>
      </c>
      <c r="E66" s="70" t="b">
        <v>0</v>
      </c>
      <c r="F66" s="75" t="b">
        <v>0</v>
      </c>
      <c r="G66" s="70" t="b">
        <v>0</v>
      </c>
      <c r="H66" s="70" t="b">
        <v>0</v>
      </c>
      <c r="I66" s="76" t="b">
        <v>0</v>
      </c>
      <c r="J66" s="70" t="b">
        <v>0</v>
      </c>
      <c r="K66" s="75" t="b">
        <v>0</v>
      </c>
      <c r="L66" s="70" t="b">
        <v>0</v>
      </c>
      <c r="M66" s="70" t="b">
        <v>0</v>
      </c>
      <c r="N66" s="1" t="e">
        <f t="array" aca="1" ref="N66" ca="1">_xludf.XLOOKUP(A66,'3. 도서별 작업 현황'!A:A,'3. 도서별 작업 현황'!Z:Z,"")</f>
        <v>#NAME?</v>
      </c>
    </row>
    <row r="67" spans="1:14" ht="22.5" customHeight="1">
      <c r="A67" s="1" t="str">
        <f ca="1">IFERROR(__xludf.DUMMYFUNCTION("""COMPUTED_VALUE"""),"SS0066")</f>
        <v>SS0066</v>
      </c>
      <c r="B67" s="1" t="e">
        <f t="array" aca="1" ref="B67" ca="1">_xludf.XLOOKUP(A67, 도서_정보[ID], 도서_정보[도서명], "")</f>
        <v>#NAME?</v>
      </c>
      <c r="C67" s="1" t="e">
        <f t="array" aca="1" ref="C67" ca="1">_xludf.XLOOKUP(A67, 도서_정보[ID], 도서_정보[작업 페이지], "")</f>
        <v>#NAME?</v>
      </c>
      <c r="D67" s="70" t="b">
        <v>0</v>
      </c>
      <c r="E67" s="70" t="b">
        <v>0</v>
      </c>
      <c r="F67" s="77" t="b">
        <v>0</v>
      </c>
      <c r="G67" s="70" t="b">
        <v>0</v>
      </c>
      <c r="H67" s="70" t="b">
        <v>0</v>
      </c>
      <c r="I67" s="76" t="b">
        <v>0</v>
      </c>
      <c r="J67" s="70" t="b">
        <v>0</v>
      </c>
      <c r="K67" s="77" t="b">
        <v>0</v>
      </c>
      <c r="L67" s="70" t="b">
        <v>0</v>
      </c>
      <c r="M67" s="70" t="b">
        <v>0</v>
      </c>
      <c r="N67" s="1" t="e">
        <f t="array" aca="1" ref="N67" ca="1">_xludf.XLOOKUP(A67,'3. 도서별 작업 현황'!A:A,'3. 도서별 작업 현황'!Z:Z,"")</f>
        <v>#NAME?</v>
      </c>
    </row>
    <row r="68" spans="1:14" ht="22.5" customHeight="1">
      <c r="A68" s="1" t="str">
        <f ca="1">IFERROR(__xludf.DUMMYFUNCTION("""COMPUTED_VALUE"""),"SS0067")</f>
        <v>SS0067</v>
      </c>
      <c r="B68" s="1" t="e">
        <f t="array" aca="1" ref="B68" ca="1">_xludf.XLOOKUP(A68, 도서_정보[ID], 도서_정보[도서명], "")</f>
        <v>#NAME?</v>
      </c>
      <c r="C68" s="1" t="e">
        <f t="array" aca="1" ref="C68" ca="1">_xludf.XLOOKUP(A68, 도서_정보[ID], 도서_정보[작업 페이지], "")</f>
        <v>#NAME?</v>
      </c>
      <c r="D68" s="70" t="b">
        <v>0</v>
      </c>
      <c r="E68" s="70" t="b">
        <v>0</v>
      </c>
      <c r="F68" s="75" t="b">
        <v>0</v>
      </c>
      <c r="G68" s="70" t="b">
        <v>0</v>
      </c>
      <c r="H68" s="70" t="b">
        <v>0</v>
      </c>
      <c r="I68" s="76" t="b">
        <v>0</v>
      </c>
      <c r="J68" s="70" t="b">
        <v>0</v>
      </c>
      <c r="K68" s="75" t="b">
        <v>0</v>
      </c>
      <c r="L68" s="70" t="b">
        <v>0</v>
      </c>
      <c r="M68" s="70" t="b">
        <v>0</v>
      </c>
      <c r="N68" s="1" t="e">
        <f t="array" aca="1" ref="N68" ca="1">_xludf.XLOOKUP(A68,'3. 도서별 작업 현황'!A:A,'3. 도서별 작업 현황'!Z:Z,"")</f>
        <v>#NAME?</v>
      </c>
    </row>
    <row r="69" spans="1:14" ht="22.5" customHeight="1">
      <c r="A69" s="1" t="str">
        <f ca="1">IFERROR(__xludf.DUMMYFUNCTION("""COMPUTED_VALUE"""),"SS0068")</f>
        <v>SS0068</v>
      </c>
      <c r="B69" s="1" t="e">
        <f t="array" aca="1" ref="B69" ca="1">_xludf.XLOOKUP(A69, 도서_정보[ID], 도서_정보[도서명], "")</f>
        <v>#NAME?</v>
      </c>
      <c r="C69" s="1" t="e">
        <f t="array" aca="1" ref="C69" ca="1">_xludf.XLOOKUP(A69, 도서_정보[ID], 도서_정보[작업 페이지], "")</f>
        <v>#NAME?</v>
      </c>
      <c r="D69" s="70" t="b">
        <v>0</v>
      </c>
      <c r="E69" s="70" t="b">
        <v>0</v>
      </c>
      <c r="F69" s="77" t="b">
        <v>0</v>
      </c>
      <c r="G69" s="70" t="b">
        <v>0</v>
      </c>
      <c r="H69" s="70" t="b">
        <v>0</v>
      </c>
      <c r="I69" s="76" t="b">
        <v>0</v>
      </c>
      <c r="J69" s="70" t="b">
        <v>0</v>
      </c>
      <c r="K69" s="77" t="b">
        <v>0</v>
      </c>
      <c r="L69" s="70" t="b">
        <v>0</v>
      </c>
      <c r="M69" s="70" t="b">
        <v>0</v>
      </c>
      <c r="N69" s="1" t="e">
        <f t="array" aca="1" ref="N69" ca="1">_xludf.XLOOKUP(A69,'3. 도서별 작업 현황'!A:A,'3. 도서별 작업 현황'!Z:Z,"")</f>
        <v>#NAME?</v>
      </c>
    </row>
    <row r="70" spans="1:14" ht="22.5" customHeight="1">
      <c r="A70" s="1" t="str">
        <f ca="1">IFERROR(__xludf.DUMMYFUNCTION("""COMPUTED_VALUE"""),"SS0069")</f>
        <v>SS0069</v>
      </c>
      <c r="B70" s="1" t="e">
        <f t="array" aca="1" ref="B70" ca="1">_xludf.XLOOKUP(A70, 도서_정보[ID], 도서_정보[도서명], "")</f>
        <v>#NAME?</v>
      </c>
      <c r="C70" s="1" t="e">
        <f t="array" aca="1" ref="C70" ca="1">_xludf.XLOOKUP(A70, 도서_정보[ID], 도서_정보[작업 페이지], "")</f>
        <v>#NAME?</v>
      </c>
      <c r="D70" s="70" t="b">
        <v>0</v>
      </c>
      <c r="E70" s="70" t="b">
        <v>0</v>
      </c>
      <c r="F70" s="75" t="b">
        <v>0</v>
      </c>
      <c r="G70" s="70" t="b">
        <v>0</v>
      </c>
      <c r="H70" s="70" t="b">
        <v>0</v>
      </c>
      <c r="I70" s="76" t="b">
        <v>0</v>
      </c>
      <c r="J70" s="70" t="b">
        <v>0</v>
      </c>
      <c r="K70" s="75" t="b">
        <v>0</v>
      </c>
      <c r="L70" s="70" t="b">
        <v>0</v>
      </c>
      <c r="M70" s="70" t="b">
        <v>0</v>
      </c>
      <c r="N70" s="1" t="e">
        <f t="array" aca="1" ref="N70" ca="1">_xludf.XLOOKUP(A70,'3. 도서별 작업 현황'!A:A,'3. 도서별 작업 현황'!Z:Z,"")</f>
        <v>#NAME?</v>
      </c>
    </row>
    <row r="71" spans="1:14" ht="22.5" customHeight="1">
      <c r="A71" s="1" t="str">
        <f ca="1">IFERROR(__xludf.DUMMYFUNCTION("""COMPUTED_VALUE"""),"SS0070")</f>
        <v>SS0070</v>
      </c>
      <c r="B71" s="1" t="e">
        <f t="array" aca="1" ref="B71" ca="1">_xludf.XLOOKUP(A71, 도서_정보[ID], 도서_정보[도서명], "")</f>
        <v>#NAME?</v>
      </c>
      <c r="C71" s="1" t="e">
        <f t="array" aca="1" ref="C71" ca="1">_xludf.XLOOKUP(A71, 도서_정보[ID], 도서_정보[작업 페이지], "")</f>
        <v>#NAME?</v>
      </c>
      <c r="D71" s="70" t="b">
        <v>0</v>
      </c>
      <c r="E71" s="70" t="b">
        <v>0</v>
      </c>
      <c r="F71" s="77" t="b">
        <v>0</v>
      </c>
      <c r="G71" s="70" t="b">
        <v>0</v>
      </c>
      <c r="H71" s="70" t="b">
        <v>0</v>
      </c>
      <c r="I71" s="76" t="b">
        <v>0</v>
      </c>
      <c r="J71" s="70" t="b">
        <v>0</v>
      </c>
      <c r="K71" s="77" t="b">
        <v>0</v>
      </c>
      <c r="L71" s="70" t="b">
        <v>0</v>
      </c>
      <c r="M71" s="70" t="b">
        <v>0</v>
      </c>
      <c r="N71" s="1" t="e">
        <f t="array" aca="1" ref="N71" ca="1">_xludf.XLOOKUP(A71,'3. 도서별 작업 현황'!A:A,'3. 도서별 작업 현황'!Z:Z,"")</f>
        <v>#NAME?</v>
      </c>
    </row>
    <row r="72" spans="1:14" ht="22.5" customHeight="1">
      <c r="A72" s="1" t="str">
        <f ca="1">IFERROR(__xludf.DUMMYFUNCTION("""COMPUTED_VALUE"""),"SS0071")</f>
        <v>SS0071</v>
      </c>
      <c r="B72" s="1" t="e">
        <f t="array" aca="1" ref="B72" ca="1">_xludf.XLOOKUP(A72, 도서_정보[ID], 도서_정보[도서명], "")</f>
        <v>#NAME?</v>
      </c>
      <c r="C72" s="1" t="e">
        <f t="array" aca="1" ref="C72" ca="1">_xludf.XLOOKUP(A72, 도서_정보[ID], 도서_정보[작업 페이지], "")</f>
        <v>#NAME?</v>
      </c>
      <c r="D72" s="70" t="b">
        <v>0</v>
      </c>
      <c r="E72" s="70" t="b">
        <v>0</v>
      </c>
      <c r="F72" s="75" t="b">
        <v>0</v>
      </c>
      <c r="G72" s="70" t="b">
        <v>0</v>
      </c>
      <c r="H72" s="70" t="b">
        <v>0</v>
      </c>
      <c r="I72" s="76" t="b">
        <v>0</v>
      </c>
      <c r="J72" s="70" t="b">
        <v>0</v>
      </c>
      <c r="K72" s="75" t="b">
        <v>0</v>
      </c>
      <c r="L72" s="70" t="b">
        <v>0</v>
      </c>
      <c r="M72" s="70" t="b">
        <v>0</v>
      </c>
      <c r="N72" s="1" t="e">
        <f t="array" aca="1" ref="N72" ca="1">_xludf.XLOOKUP(A72,'3. 도서별 작업 현황'!A:A,'3. 도서별 작업 현황'!Z:Z,"")</f>
        <v>#NAME?</v>
      </c>
    </row>
    <row r="73" spans="1:14" ht="22.5" customHeight="1">
      <c r="A73" s="1" t="str">
        <f ca="1">IFERROR(__xludf.DUMMYFUNCTION("""COMPUTED_VALUE"""),"SS0072")</f>
        <v>SS0072</v>
      </c>
      <c r="B73" s="1" t="e">
        <f t="array" aca="1" ref="B73" ca="1">_xludf.XLOOKUP(A73, 도서_정보[ID], 도서_정보[도서명], "")</f>
        <v>#NAME?</v>
      </c>
      <c r="C73" s="1" t="e">
        <f t="array" aca="1" ref="C73" ca="1">_xludf.XLOOKUP(A73, 도서_정보[ID], 도서_정보[작업 페이지], "")</f>
        <v>#NAME?</v>
      </c>
      <c r="D73" s="70" t="b">
        <v>0</v>
      </c>
      <c r="E73" s="70" t="b">
        <v>0</v>
      </c>
      <c r="F73" s="77" t="b">
        <v>0</v>
      </c>
      <c r="G73" s="70" t="b">
        <v>0</v>
      </c>
      <c r="H73" s="70" t="b">
        <v>0</v>
      </c>
      <c r="I73" s="76" t="b">
        <v>0</v>
      </c>
      <c r="J73" s="70" t="b">
        <v>0</v>
      </c>
      <c r="K73" s="77" t="b">
        <v>0</v>
      </c>
      <c r="L73" s="70" t="b">
        <v>0</v>
      </c>
      <c r="M73" s="70" t="b">
        <v>0</v>
      </c>
      <c r="N73" s="1" t="e">
        <f t="array" aca="1" ref="N73" ca="1">_xludf.XLOOKUP(A73,'3. 도서별 작업 현황'!A:A,'3. 도서별 작업 현황'!Z:Z,"")</f>
        <v>#NAME?</v>
      </c>
    </row>
    <row r="74" spans="1:14" ht="22.5" customHeight="1">
      <c r="A74" s="1" t="str">
        <f ca="1">IFERROR(__xludf.DUMMYFUNCTION("""COMPUTED_VALUE"""),"SS0073")</f>
        <v>SS0073</v>
      </c>
      <c r="B74" s="1" t="e">
        <f t="array" aca="1" ref="B74" ca="1">_xludf.XLOOKUP(A74, 도서_정보[ID], 도서_정보[도서명], "")</f>
        <v>#NAME?</v>
      </c>
      <c r="C74" s="1" t="e">
        <f t="array" aca="1" ref="C74" ca="1">_xludf.XLOOKUP(A74, 도서_정보[ID], 도서_정보[작업 페이지], "")</f>
        <v>#NAME?</v>
      </c>
      <c r="D74" s="70" t="b">
        <v>0</v>
      </c>
      <c r="E74" s="70" t="b">
        <v>0</v>
      </c>
      <c r="F74" s="75" t="b">
        <v>0</v>
      </c>
      <c r="G74" s="70" t="b">
        <v>0</v>
      </c>
      <c r="H74" s="70" t="b">
        <v>0</v>
      </c>
      <c r="I74" s="76" t="b">
        <v>0</v>
      </c>
      <c r="J74" s="70" t="b">
        <v>0</v>
      </c>
      <c r="K74" s="75" t="b">
        <v>0</v>
      </c>
      <c r="L74" s="70" t="b">
        <v>0</v>
      </c>
      <c r="M74" s="70" t="b">
        <v>0</v>
      </c>
      <c r="N74" s="1" t="e">
        <f t="array" aca="1" ref="N74" ca="1">_xludf.XLOOKUP(A74,'3. 도서별 작업 현황'!A:A,'3. 도서별 작업 현황'!Z:Z,"")</f>
        <v>#NAME?</v>
      </c>
    </row>
    <row r="75" spans="1:14" ht="22.5" customHeight="1">
      <c r="A75" s="1" t="str">
        <f ca="1">IFERROR(__xludf.DUMMYFUNCTION("""COMPUTED_VALUE"""),"SS0074")</f>
        <v>SS0074</v>
      </c>
      <c r="B75" s="1" t="e">
        <f t="array" aca="1" ref="B75" ca="1">_xludf.XLOOKUP(A75, 도서_정보[ID], 도서_정보[도서명], "")</f>
        <v>#NAME?</v>
      </c>
      <c r="C75" s="1" t="e">
        <f t="array" aca="1" ref="C75" ca="1">_xludf.XLOOKUP(A75, 도서_정보[ID], 도서_정보[작업 페이지], "")</f>
        <v>#NAME?</v>
      </c>
      <c r="D75" s="70" t="b">
        <v>0</v>
      </c>
      <c r="E75" s="70" t="b">
        <v>0</v>
      </c>
      <c r="F75" s="77" t="b">
        <v>0</v>
      </c>
      <c r="G75" s="70" t="b">
        <v>0</v>
      </c>
      <c r="H75" s="70" t="b">
        <v>0</v>
      </c>
      <c r="I75" s="76" t="b">
        <v>0</v>
      </c>
      <c r="J75" s="70" t="b">
        <v>0</v>
      </c>
      <c r="K75" s="77" t="b">
        <v>0</v>
      </c>
      <c r="L75" s="70" t="b">
        <v>0</v>
      </c>
      <c r="M75" s="70" t="b">
        <v>0</v>
      </c>
      <c r="N75" s="1" t="e">
        <f t="array" aca="1" ref="N75" ca="1">_xludf.XLOOKUP(A75,'3. 도서별 작업 현황'!A:A,'3. 도서별 작업 현황'!Z:Z,"")</f>
        <v>#NAME?</v>
      </c>
    </row>
    <row r="76" spans="1:14" ht="22.5" customHeight="1">
      <c r="A76" s="1" t="str">
        <f ca="1">IFERROR(__xludf.DUMMYFUNCTION("""COMPUTED_VALUE"""),"SS0075")</f>
        <v>SS0075</v>
      </c>
      <c r="B76" s="1" t="e">
        <f t="array" aca="1" ref="B76" ca="1">_xludf.XLOOKUP(A76, 도서_정보[ID], 도서_정보[도서명], "")</f>
        <v>#NAME?</v>
      </c>
      <c r="C76" s="1" t="e">
        <f t="array" aca="1" ref="C76" ca="1">_xludf.XLOOKUP(A76, 도서_정보[ID], 도서_정보[작업 페이지], "")</f>
        <v>#NAME?</v>
      </c>
      <c r="D76" s="70" t="b">
        <v>0</v>
      </c>
      <c r="E76" s="70" t="b">
        <v>0</v>
      </c>
      <c r="F76" s="75" t="b">
        <v>0</v>
      </c>
      <c r="G76" s="70" t="b">
        <v>0</v>
      </c>
      <c r="H76" s="70" t="b">
        <v>0</v>
      </c>
      <c r="I76" s="76" t="b">
        <v>0</v>
      </c>
      <c r="J76" s="70" t="b">
        <v>0</v>
      </c>
      <c r="K76" s="75" t="b">
        <v>0</v>
      </c>
      <c r="L76" s="70" t="b">
        <v>0</v>
      </c>
      <c r="M76" s="70" t="b">
        <v>0</v>
      </c>
      <c r="N76" s="1" t="e">
        <f t="array" aca="1" ref="N76" ca="1">_xludf.XLOOKUP(A76,'3. 도서별 작업 현황'!A:A,'3. 도서별 작업 현황'!Z:Z,"")</f>
        <v>#NAME?</v>
      </c>
    </row>
    <row r="77" spans="1:14" ht="22.5" customHeight="1">
      <c r="A77" s="1" t="str">
        <f ca="1">IFERROR(__xludf.DUMMYFUNCTION("""COMPUTED_VALUE"""),"SS0076")</f>
        <v>SS0076</v>
      </c>
      <c r="B77" s="1" t="e">
        <f t="array" aca="1" ref="B77" ca="1">_xludf.XLOOKUP(A77, 도서_정보[ID], 도서_정보[도서명], "")</f>
        <v>#NAME?</v>
      </c>
      <c r="C77" s="1" t="e">
        <f t="array" aca="1" ref="C77" ca="1">_xludf.XLOOKUP(A77, 도서_정보[ID], 도서_정보[작업 페이지], "")</f>
        <v>#NAME?</v>
      </c>
      <c r="D77" s="70" t="b">
        <v>0</v>
      </c>
      <c r="E77" s="70" t="b">
        <v>0</v>
      </c>
      <c r="F77" s="77" t="b">
        <v>0</v>
      </c>
      <c r="G77" s="70" t="b">
        <v>0</v>
      </c>
      <c r="H77" s="70" t="b">
        <v>0</v>
      </c>
      <c r="I77" s="76" t="b">
        <v>0</v>
      </c>
      <c r="J77" s="70" t="b">
        <v>0</v>
      </c>
      <c r="K77" s="77" t="b">
        <v>0</v>
      </c>
      <c r="L77" s="70" t="b">
        <v>0</v>
      </c>
      <c r="M77" s="70" t="b">
        <v>0</v>
      </c>
      <c r="N77" s="1" t="e">
        <f t="array" aca="1" ref="N77" ca="1">_xludf.XLOOKUP(A77,'3. 도서별 작업 현황'!A:A,'3. 도서별 작업 현황'!Z:Z,"")</f>
        <v>#NAME?</v>
      </c>
    </row>
    <row r="78" spans="1:14" ht="22.5" customHeight="1">
      <c r="A78" s="1" t="str">
        <f ca="1">IFERROR(__xludf.DUMMYFUNCTION("""COMPUTED_VALUE"""),"SS0077")</f>
        <v>SS0077</v>
      </c>
      <c r="B78" s="1" t="e">
        <f t="array" aca="1" ref="B78" ca="1">_xludf.XLOOKUP(A78, 도서_정보[ID], 도서_정보[도서명], "")</f>
        <v>#NAME?</v>
      </c>
      <c r="C78" s="1" t="e">
        <f t="array" aca="1" ref="C78" ca="1">_xludf.XLOOKUP(A78, 도서_정보[ID], 도서_정보[작업 페이지], "")</f>
        <v>#NAME?</v>
      </c>
      <c r="D78" s="70" t="b">
        <v>0</v>
      </c>
      <c r="E78" s="70" t="b">
        <v>0</v>
      </c>
      <c r="F78" s="75" t="b">
        <v>0</v>
      </c>
      <c r="G78" s="70" t="b">
        <v>0</v>
      </c>
      <c r="H78" s="70" t="b">
        <v>0</v>
      </c>
      <c r="I78" s="76" t="b">
        <v>0</v>
      </c>
      <c r="J78" s="70" t="b">
        <v>0</v>
      </c>
      <c r="K78" s="75" t="b">
        <v>0</v>
      </c>
      <c r="L78" s="70" t="b">
        <v>0</v>
      </c>
      <c r="M78" s="70" t="b">
        <v>0</v>
      </c>
      <c r="N78" s="1" t="e">
        <f t="array" aca="1" ref="N78" ca="1">_xludf.XLOOKUP(A78,'3. 도서별 작업 현황'!A:A,'3. 도서별 작업 현황'!Z:Z,"")</f>
        <v>#NAME?</v>
      </c>
    </row>
    <row r="79" spans="1:14" ht="22.5" customHeight="1">
      <c r="A79" s="1" t="str">
        <f ca="1">IFERROR(__xludf.DUMMYFUNCTION("""COMPUTED_VALUE"""),"SS0078")</f>
        <v>SS0078</v>
      </c>
      <c r="B79" s="1" t="e">
        <f t="array" aca="1" ref="B79" ca="1">_xludf.XLOOKUP(A79, 도서_정보[ID], 도서_정보[도서명], "")</f>
        <v>#NAME?</v>
      </c>
      <c r="C79" s="1" t="e">
        <f t="array" aca="1" ref="C79" ca="1">_xludf.XLOOKUP(A79, 도서_정보[ID], 도서_정보[작업 페이지], "")</f>
        <v>#NAME?</v>
      </c>
      <c r="D79" s="70" t="b">
        <v>0</v>
      </c>
      <c r="E79" s="70" t="b">
        <v>0</v>
      </c>
      <c r="F79" s="77" t="b">
        <v>0</v>
      </c>
      <c r="G79" s="70" t="b">
        <v>0</v>
      </c>
      <c r="H79" s="70" t="b">
        <v>0</v>
      </c>
      <c r="I79" s="76" t="b">
        <v>0</v>
      </c>
      <c r="J79" s="70" t="b">
        <v>0</v>
      </c>
      <c r="K79" s="77" t="b">
        <v>0</v>
      </c>
      <c r="L79" s="70" t="b">
        <v>0</v>
      </c>
      <c r="M79" s="70" t="b">
        <v>0</v>
      </c>
      <c r="N79" s="1" t="e">
        <f t="array" aca="1" ref="N79" ca="1">_xludf.XLOOKUP(A79,'3. 도서별 작업 현황'!A:A,'3. 도서별 작업 현황'!Z:Z,"")</f>
        <v>#NAME?</v>
      </c>
    </row>
    <row r="80" spans="1:14" ht="22.5" customHeight="1">
      <c r="A80" s="1" t="str">
        <f ca="1">IFERROR(__xludf.DUMMYFUNCTION("""COMPUTED_VALUE"""),"SS0079")</f>
        <v>SS0079</v>
      </c>
      <c r="B80" s="1" t="e">
        <f t="array" aca="1" ref="B80" ca="1">_xludf.XLOOKUP(A80, 도서_정보[ID], 도서_정보[도서명], "")</f>
        <v>#NAME?</v>
      </c>
      <c r="C80" s="1" t="e">
        <f t="array" aca="1" ref="C80" ca="1">_xludf.XLOOKUP(A80, 도서_정보[ID], 도서_정보[작업 페이지], "")</f>
        <v>#NAME?</v>
      </c>
      <c r="D80" s="70" t="b">
        <v>0</v>
      </c>
      <c r="E80" s="70" t="b">
        <v>0</v>
      </c>
      <c r="F80" s="75" t="b">
        <v>0</v>
      </c>
      <c r="G80" s="70" t="b">
        <v>0</v>
      </c>
      <c r="H80" s="70" t="b">
        <v>0</v>
      </c>
      <c r="I80" s="76" t="b">
        <v>0</v>
      </c>
      <c r="J80" s="70" t="b">
        <v>0</v>
      </c>
      <c r="K80" s="75" t="b">
        <v>0</v>
      </c>
      <c r="L80" s="70" t="b">
        <v>0</v>
      </c>
      <c r="M80" s="70" t="b">
        <v>0</v>
      </c>
      <c r="N80" s="1" t="e">
        <f t="array" aca="1" ref="N80" ca="1">_xludf.XLOOKUP(A80,'3. 도서별 작업 현황'!A:A,'3. 도서별 작업 현황'!Z:Z,"")</f>
        <v>#NAME?</v>
      </c>
    </row>
    <row r="81" spans="1:14" ht="22.5" customHeight="1">
      <c r="A81" s="1" t="str">
        <f ca="1">IFERROR(__xludf.DUMMYFUNCTION("""COMPUTED_VALUE"""),"SS0080")</f>
        <v>SS0080</v>
      </c>
      <c r="B81" s="1" t="e">
        <f t="array" aca="1" ref="B81" ca="1">_xludf.XLOOKUP(A81, 도서_정보[ID], 도서_정보[도서명], "")</f>
        <v>#NAME?</v>
      </c>
      <c r="C81" s="1" t="e">
        <f t="array" aca="1" ref="C81" ca="1">_xludf.XLOOKUP(A81, 도서_정보[ID], 도서_정보[작업 페이지], "")</f>
        <v>#NAME?</v>
      </c>
      <c r="D81" s="70" t="b">
        <v>0</v>
      </c>
      <c r="E81" s="70" t="b">
        <v>0</v>
      </c>
      <c r="F81" s="77" t="b">
        <v>0</v>
      </c>
      <c r="G81" s="70" t="b">
        <v>0</v>
      </c>
      <c r="H81" s="70" t="b">
        <v>0</v>
      </c>
      <c r="I81" s="76" t="b">
        <v>0</v>
      </c>
      <c r="J81" s="70" t="b">
        <v>0</v>
      </c>
      <c r="K81" s="77" t="b">
        <v>0</v>
      </c>
      <c r="L81" s="70" t="b">
        <v>0</v>
      </c>
      <c r="M81" s="70" t="b">
        <v>0</v>
      </c>
      <c r="N81" s="1" t="e">
        <f t="array" aca="1" ref="N81" ca="1">_xludf.XLOOKUP(A81,'3. 도서별 작업 현황'!A:A,'3. 도서별 작업 현황'!Z:Z,"")</f>
        <v>#NAME?</v>
      </c>
    </row>
    <row r="82" spans="1:14" ht="22.5" customHeight="1">
      <c r="A82" s="1" t="str">
        <f ca="1">IFERROR(__xludf.DUMMYFUNCTION("""COMPUTED_VALUE"""),"SS0081")</f>
        <v>SS0081</v>
      </c>
      <c r="B82" s="1" t="e">
        <f t="array" aca="1" ref="B82" ca="1">_xludf.XLOOKUP(A82, 도서_정보[ID], 도서_정보[도서명], "")</f>
        <v>#NAME?</v>
      </c>
      <c r="C82" s="1" t="e">
        <f t="array" aca="1" ref="C82" ca="1">_xludf.XLOOKUP(A82, 도서_정보[ID], 도서_정보[작업 페이지], "")</f>
        <v>#NAME?</v>
      </c>
      <c r="D82" s="70" t="b">
        <v>0</v>
      </c>
      <c r="E82" s="70" t="b">
        <v>0</v>
      </c>
      <c r="F82" s="75" t="b">
        <v>0</v>
      </c>
      <c r="G82" s="70" t="b">
        <v>0</v>
      </c>
      <c r="H82" s="70" t="b">
        <v>0</v>
      </c>
      <c r="I82" s="76" t="b">
        <v>0</v>
      </c>
      <c r="J82" s="70" t="b">
        <v>0</v>
      </c>
      <c r="K82" s="75" t="b">
        <v>0</v>
      </c>
      <c r="L82" s="70" t="b">
        <v>0</v>
      </c>
      <c r="M82" s="70" t="b">
        <v>0</v>
      </c>
      <c r="N82" s="1" t="e">
        <f t="array" aca="1" ref="N82" ca="1">_xludf.XLOOKUP(A82,'3. 도서별 작업 현황'!A:A,'3. 도서별 작업 현황'!Z:Z,"")</f>
        <v>#NAME?</v>
      </c>
    </row>
    <row r="83" spans="1:14" ht="22.5" customHeight="1">
      <c r="A83" s="1" t="str">
        <f ca="1">IFERROR(__xludf.DUMMYFUNCTION("""COMPUTED_VALUE"""),"SS0082")</f>
        <v>SS0082</v>
      </c>
      <c r="B83" s="1" t="e">
        <f t="array" aca="1" ref="B83" ca="1">_xludf.XLOOKUP(A83, 도서_정보[ID], 도서_정보[도서명], "")</f>
        <v>#NAME?</v>
      </c>
      <c r="C83" s="1" t="e">
        <f t="array" aca="1" ref="C83" ca="1">_xludf.XLOOKUP(A83, 도서_정보[ID], 도서_정보[작업 페이지], "")</f>
        <v>#NAME?</v>
      </c>
      <c r="D83" s="70" t="b">
        <v>0</v>
      </c>
      <c r="E83" s="70" t="b">
        <v>0</v>
      </c>
      <c r="F83" s="77" t="b">
        <v>0</v>
      </c>
      <c r="G83" s="70" t="b">
        <v>0</v>
      </c>
      <c r="H83" s="70" t="b">
        <v>0</v>
      </c>
      <c r="I83" s="76" t="b">
        <v>0</v>
      </c>
      <c r="J83" s="70" t="b">
        <v>0</v>
      </c>
      <c r="K83" s="77" t="b">
        <v>0</v>
      </c>
      <c r="L83" s="70" t="b">
        <v>0</v>
      </c>
      <c r="M83" s="70" t="b">
        <v>0</v>
      </c>
      <c r="N83" s="1" t="e">
        <f t="array" aca="1" ref="N83" ca="1">_xludf.XLOOKUP(A83,'3. 도서별 작업 현황'!A:A,'3. 도서별 작업 현황'!Z:Z,"")</f>
        <v>#NAME?</v>
      </c>
    </row>
    <row r="84" spans="1:14" ht="22.5" customHeight="1">
      <c r="A84" s="1" t="str">
        <f ca="1">IFERROR(__xludf.DUMMYFUNCTION("""COMPUTED_VALUE"""),"SS0083")</f>
        <v>SS0083</v>
      </c>
      <c r="B84" s="1" t="e">
        <f t="array" aca="1" ref="B84" ca="1">_xludf.XLOOKUP(A84, 도서_정보[ID], 도서_정보[도서명], "")</f>
        <v>#NAME?</v>
      </c>
      <c r="C84" s="1" t="e">
        <f t="array" aca="1" ref="C84" ca="1">_xludf.XLOOKUP(A84, 도서_정보[ID], 도서_정보[작업 페이지], "")</f>
        <v>#NAME?</v>
      </c>
      <c r="D84" s="70" t="b">
        <v>0</v>
      </c>
      <c r="E84" s="70" t="b">
        <v>0</v>
      </c>
      <c r="F84" s="75" t="b">
        <v>0</v>
      </c>
      <c r="G84" s="70" t="b">
        <v>0</v>
      </c>
      <c r="H84" s="70" t="b">
        <v>0</v>
      </c>
      <c r="I84" s="76" t="b">
        <v>0</v>
      </c>
      <c r="J84" s="70" t="b">
        <v>0</v>
      </c>
      <c r="K84" s="75" t="b">
        <v>0</v>
      </c>
      <c r="L84" s="70" t="b">
        <v>0</v>
      </c>
      <c r="M84" s="70" t="b">
        <v>0</v>
      </c>
      <c r="N84" s="1" t="e">
        <f t="array" aca="1" ref="N84" ca="1">_xludf.XLOOKUP(A84,'3. 도서별 작업 현황'!A:A,'3. 도서별 작업 현황'!Z:Z,"")</f>
        <v>#NAME?</v>
      </c>
    </row>
    <row r="85" spans="1:14" ht="22.5" customHeight="1">
      <c r="A85" s="1" t="str">
        <f ca="1">IFERROR(__xludf.DUMMYFUNCTION("""COMPUTED_VALUE"""),"SS0084")</f>
        <v>SS0084</v>
      </c>
      <c r="B85" s="1" t="e">
        <f t="array" aca="1" ref="B85" ca="1">_xludf.XLOOKUP(A85, 도서_정보[ID], 도서_정보[도서명], "")</f>
        <v>#NAME?</v>
      </c>
      <c r="C85" s="1" t="e">
        <f t="array" aca="1" ref="C85" ca="1">_xludf.XLOOKUP(A85, 도서_정보[ID], 도서_정보[작업 페이지], "")</f>
        <v>#NAME?</v>
      </c>
      <c r="D85" s="70" t="b">
        <v>0</v>
      </c>
      <c r="E85" s="70" t="b">
        <v>0</v>
      </c>
      <c r="F85" s="77" t="b">
        <v>0</v>
      </c>
      <c r="G85" s="70" t="b">
        <v>0</v>
      </c>
      <c r="H85" s="70" t="b">
        <v>0</v>
      </c>
      <c r="I85" s="76" t="b">
        <v>0</v>
      </c>
      <c r="J85" s="70" t="b">
        <v>0</v>
      </c>
      <c r="K85" s="77" t="b">
        <v>0</v>
      </c>
      <c r="L85" s="70" t="b">
        <v>0</v>
      </c>
      <c r="M85" s="70" t="b">
        <v>0</v>
      </c>
      <c r="N85" s="1" t="e">
        <f t="array" aca="1" ref="N85" ca="1">_xludf.XLOOKUP(A85,'3. 도서별 작업 현황'!A:A,'3. 도서별 작업 현황'!Z:Z,"")</f>
        <v>#NAME?</v>
      </c>
    </row>
    <row r="86" spans="1:14" ht="22.5" customHeight="1">
      <c r="A86" s="1" t="str">
        <f ca="1">IFERROR(__xludf.DUMMYFUNCTION("""COMPUTED_VALUE"""),"SS0085")</f>
        <v>SS0085</v>
      </c>
      <c r="B86" s="1" t="e">
        <f t="array" aca="1" ref="B86" ca="1">_xludf.XLOOKUP(A86, 도서_정보[ID], 도서_정보[도서명], "")</f>
        <v>#NAME?</v>
      </c>
      <c r="C86" s="1" t="e">
        <f t="array" aca="1" ref="C86" ca="1">_xludf.XLOOKUP(A86, 도서_정보[ID], 도서_정보[작업 페이지], "")</f>
        <v>#NAME?</v>
      </c>
      <c r="D86" s="70" t="b">
        <v>0</v>
      </c>
      <c r="E86" s="70" t="b">
        <v>0</v>
      </c>
      <c r="F86" s="75" t="b">
        <v>0</v>
      </c>
      <c r="G86" s="70" t="b">
        <v>0</v>
      </c>
      <c r="H86" s="70" t="b">
        <v>0</v>
      </c>
      <c r="I86" s="76" t="b">
        <v>0</v>
      </c>
      <c r="J86" s="70" t="b">
        <v>0</v>
      </c>
      <c r="K86" s="75" t="b">
        <v>0</v>
      </c>
      <c r="L86" s="70" t="b">
        <v>0</v>
      </c>
      <c r="M86" s="70" t="b">
        <v>0</v>
      </c>
      <c r="N86" s="1" t="e">
        <f t="array" aca="1" ref="N86" ca="1">_xludf.XLOOKUP(A86,'3. 도서별 작업 현황'!A:A,'3. 도서별 작업 현황'!Z:Z,"")</f>
        <v>#NAME?</v>
      </c>
    </row>
    <row r="87" spans="1:14" ht="22.5" customHeight="1">
      <c r="A87" s="1" t="str">
        <f ca="1">IFERROR(__xludf.DUMMYFUNCTION("""COMPUTED_VALUE"""),"SS0086")</f>
        <v>SS0086</v>
      </c>
      <c r="B87" s="1" t="e">
        <f t="array" aca="1" ref="B87" ca="1">_xludf.XLOOKUP(A87, 도서_정보[ID], 도서_정보[도서명], "")</f>
        <v>#NAME?</v>
      </c>
      <c r="C87" s="1" t="e">
        <f t="array" aca="1" ref="C87" ca="1">_xludf.XLOOKUP(A87, 도서_정보[ID], 도서_정보[작업 페이지], "")</f>
        <v>#NAME?</v>
      </c>
      <c r="D87" s="70" t="b">
        <v>0</v>
      </c>
      <c r="E87" s="70" t="b">
        <v>0</v>
      </c>
      <c r="F87" s="77" t="b">
        <v>0</v>
      </c>
      <c r="G87" s="70" t="b">
        <v>0</v>
      </c>
      <c r="H87" s="70" t="b">
        <v>0</v>
      </c>
      <c r="I87" s="76" t="b">
        <v>0</v>
      </c>
      <c r="J87" s="70" t="b">
        <v>0</v>
      </c>
      <c r="K87" s="77" t="b">
        <v>0</v>
      </c>
      <c r="L87" s="70" t="b">
        <v>0</v>
      </c>
      <c r="M87" s="70" t="b">
        <v>0</v>
      </c>
      <c r="N87" s="1" t="e">
        <f t="array" aca="1" ref="N87" ca="1">_xludf.XLOOKUP(A87,'3. 도서별 작업 현황'!A:A,'3. 도서별 작업 현황'!Z:Z,"")</f>
        <v>#NAME?</v>
      </c>
    </row>
    <row r="88" spans="1:14" ht="22.5" customHeight="1">
      <c r="A88" s="1" t="str">
        <f ca="1">IFERROR(__xludf.DUMMYFUNCTION("""COMPUTED_VALUE"""),"SS0087")</f>
        <v>SS0087</v>
      </c>
      <c r="B88" s="1" t="e">
        <f t="array" aca="1" ref="B88" ca="1">_xludf.XLOOKUP(A88, 도서_정보[ID], 도서_정보[도서명], "")</f>
        <v>#NAME?</v>
      </c>
      <c r="C88" s="1" t="e">
        <f t="array" aca="1" ref="C88" ca="1">_xludf.XLOOKUP(A88, 도서_정보[ID], 도서_정보[작업 페이지], "")</f>
        <v>#NAME?</v>
      </c>
      <c r="D88" s="70" t="b">
        <v>0</v>
      </c>
      <c r="E88" s="70" t="b">
        <v>0</v>
      </c>
      <c r="F88" s="75" t="b">
        <v>0</v>
      </c>
      <c r="G88" s="70" t="b">
        <v>0</v>
      </c>
      <c r="H88" s="70" t="b">
        <v>0</v>
      </c>
      <c r="I88" s="76" t="b">
        <v>0</v>
      </c>
      <c r="J88" s="70" t="b">
        <v>0</v>
      </c>
      <c r="K88" s="75" t="b">
        <v>0</v>
      </c>
      <c r="L88" s="70" t="b">
        <v>0</v>
      </c>
      <c r="M88" s="70" t="b">
        <v>0</v>
      </c>
      <c r="N88" s="1" t="e">
        <f t="array" aca="1" ref="N88" ca="1">_xludf.XLOOKUP(A88,'3. 도서별 작업 현황'!A:A,'3. 도서별 작업 현황'!Z:Z,"")</f>
        <v>#NAME?</v>
      </c>
    </row>
    <row r="89" spans="1:14" ht="22.5" customHeight="1">
      <c r="A89" s="1" t="str">
        <f ca="1">IFERROR(__xludf.DUMMYFUNCTION("""COMPUTED_VALUE"""),"SS0088")</f>
        <v>SS0088</v>
      </c>
      <c r="B89" s="1" t="e">
        <f t="array" aca="1" ref="B89" ca="1">_xludf.XLOOKUP(A89, 도서_정보[ID], 도서_정보[도서명], "")</f>
        <v>#NAME?</v>
      </c>
      <c r="C89" s="1" t="e">
        <f t="array" aca="1" ref="C89" ca="1">_xludf.XLOOKUP(A89, 도서_정보[ID], 도서_정보[작업 페이지], "")</f>
        <v>#NAME?</v>
      </c>
      <c r="D89" s="70" t="b">
        <v>0</v>
      </c>
      <c r="E89" s="70" t="b">
        <v>0</v>
      </c>
      <c r="F89" s="77" t="b">
        <v>0</v>
      </c>
      <c r="G89" s="70" t="b">
        <v>0</v>
      </c>
      <c r="H89" s="70" t="b">
        <v>0</v>
      </c>
      <c r="I89" s="76" t="b">
        <v>0</v>
      </c>
      <c r="J89" s="70" t="b">
        <v>0</v>
      </c>
      <c r="K89" s="77" t="b">
        <v>0</v>
      </c>
      <c r="L89" s="70" t="b">
        <v>0</v>
      </c>
      <c r="M89" s="70" t="b">
        <v>0</v>
      </c>
      <c r="N89" s="1" t="e">
        <f t="array" aca="1" ref="N89" ca="1">_xludf.XLOOKUP(A89,'3. 도서별 작업 현황'!A:A,'3. 도서별 작업 현황'!Z:Z,"")</f>
        <v>#NAME?</v>
      </c>
    </row>
    <row r="90" spans="1:14" ht="22.5" customHeight="1">
      <c r="A90" s="1" t="str">
        <f ca="1">IFERROR(__xludf.DUMMYFUNCTION("""COMPUTED_VALUE"""),"SS0089")</f>
        <v>SS0089</v>
      </c>
      <c r="B90" s="1" t="e">
        <f t="array" aca="1" ref="B90" ca="1">_xludf.XLOOKUP(A90, 도서_정보[ID], 도서_정보[도서명], "")</f>
        <v>#NAME?</v>
      </c>
      <c r="C90" s="1" t="e">
        <f t="array" aca="1" ref="C90" ca="1">_xludf.XLOOKUP(A90, 도서_정보[ID], 도서_정보[작업 페이지], "")</f>
        <v>#NAME?</v>
      </c>
      <c r="D90" s="70" t="b">
        <v>0</v>
      </c>
      <c r="E90" s="70" t="b">
        <v>0</v>
      </c>
      <c r="F90" s="75" t="b">
        <v>0</v>
      </c>
      <c r="G90" s="70" t="b">
        <v>0</v>
      </c>
      <c r="H90" s="70" t="b">
        <v>0</v>
      </c>
      <c r="I90" s="76" t="b">
        <v>0</v>
      </c>
      <c r="J90" s="70" t="b">
        <v>0</v>
      </c>
      <c r="K90" s="75" t="b">
        <v>0</v>
      </c>
      <c r="L90" s="70" t="b">
        <v>0</v>
      </c>
      <c r="M90" s="70" t="b">
        <v>0</v>
      </c>
      <c r="N90" s="1" t="e">
        <f t="array" aca="1" ref="N90" ca="1">_xludf.XLOOKUP(A90,'3. 도서별 작업 현황'!A:A,'3. 도서별 작업 현황'!Z:Z,"")</f>
        <v>#NAME?</v>
      </c>
    </row>
    <row r="91" spans="1:14" ht="22.5" customHeight="1">
      <c r="A91" s="1" t="str">
        <f ca="1">IFERROR(__xludf.DUMMYFUNCTION("""COMPUTED_VALUE"""),"SS0090")</f>
        <v>SS0090</v>
      </c>
      <c r="B91" s="1" t="e">
        <f t="array" aca="1" ref="B91" ca="1">_xludf.XLOOKUP(A91, 도서_정보[ID], 도서_정보[도서명], "")</f>
        <v>#NAME?</v>
      </c>
      <c r="C91" s="1" t="e">
        <f t="array" aca="1" ref="C91" ca="1">_xludf.XLOOKUP(A91, 도서_정보[ID], 도서_정보[작업 페이지], "")</f>
        <v>#NAME?</v>
      </c>
      <c r="D91" s="70" t="b">
        <v>0</v>
      </c>
      <c r="E91" s="70" t="b">
        <v>0</v>
      </c>
      <c r="F91" s="77" t="b">
        <v>0</v>
      </c>
      <c r="G91" s="70" t="b">
        <v>0</v>
      </c>
      <c r="H91" s="70" t="b">
        <v>0</v>
      </c>
      <c r="I91" s="76" t="b">
        <v>0</v>
      </c>
      <c r="J91" s="70" t="b">
        <v>0</v>
      </c>
      <c r="K91" s="77" t="b">
        <v>0</v>
      </c>
      <c r="L91" s="70" t="b">
        <v>0</v>
      </c>
      <c r="M91" s="70" t="b">
        <v>0</v>
      </c>
      <c r="N91" s="1" t="e">
        <f t="array" aca="1" ref="N91" ca="1">_xludf.XLOOKUP(A91,'3. 도서별 작업 현황'!A:A,'3. 도서별 작업 현황'!Z:Z,"")</f>
        <v>#NAME?</v>
      </c>
    </row>
    <row r="92" spans="1:14" ht="22.5" customHeight="1">
      <c r="A92" s="1" t="str">
        <f ca="1">IFERROR(__xludf.DUMMYFUNCTION("""COMPUTED_VALUE"""),"SS0091")</f>
        <v>SS0091</v>
      </c>
      <c r="B92" s="1" t="e">
        <f t="array" aca="1" ref="B92" ca="1">_xludf.XLOOKUP(A92, 도서_정보[ID], 도서_정보[도서명], "")</f>
        <v>#NAME?</v>
      </c>
      <c r="C92" s="1" t="e">
        <f t="array" aca="1" ref="C92" ca="1">_xludf.XLOOKUP(A92, 도서_정보[ID], 도서_정보[작업 페이지], "")</f>
        <v>#NAME?</v>
      </c>
      <c r="D92" s="70" t="b">
        <v>0</v>
      </c>
      <c r="E92" s="70" t="b">
        <v>0</v>
      </c>
      <c r="F92" s="75" t="b">
        <v>0</v>
      </c>
      <c r="G92" s="70" t="b">
        <v>0</v>
      </c>
      <c r="H92" s="70" t="b">
        <v>0</v>
      </c>
      <c r="I92" s="76" t="b">
        <v>0</v>
      </c>
      <c r="J92" s="70" t="b">
        <v>0</v>
      </c>
      <c r="K92" s="75" t="b">
        <v>0</v>
      </c>
      <c r="L92" s="70" t="b">
        <v>0</v>
      </c>
      <c r="M92" s="70" t="b">
        <v>0</v>
      </c>
      <c r="N92" s="1" t="e">
        <f t="array" aca="1" ref="N92" ca="1">_xludf.XLOOKUP(A92,'3. 도서별 작업 현황'!A:A,'3. 도서별 작업 현황'!Z:Z,"")</f>
        <v>#NAME?</v>
      </c>
    </row>
    <row r="93" spans="1:14" ht="22.5" customHeight="1">
      <c r="A93" s="1" t="str">
        <f ca="1">IFERROR(__xludf.DUMMYFUNCTION("""COMPUTED_VALUE"""),"SS0092")</f>
        <v>SS0092</v>
      </c>
      <c r="B93" s="1" t="e">
        <f t="array" aca="1" ref="B93" ca="1">_xludf.XLOOKUP(A93, 도서_정보[ID], 도서_정보[도서명], "")</f>
        <v>#NAME?</v>
      </c>
      <c r="C93" s="1" t="e">
        <f t="array" aca="1" ref="C93" ca="1">_xludf.XLOOKUP(A93, 도서_정보[ID], 도서_정보[작업 페이지], "")</f>
        <v>#NAME?</v>
      </c>
      <c r="D93" s="70" t="b">
        <v>0</v>
      </c>
      <c r="E93" s="70" t="b">
        <v>0</v>
      </c>
      <c r="F93" s="77" t="b">
        <v>0</v>
      </c>
      <c r="G93" s="70" t="b">
        <v>0</v>
      </c>
      <c r="H93" s="70" t="b">
        <v>0</v>
      </c>
      <c r="I93" s="76" t="b">
        <v>0</v>
      </c>
      <c r="J93" s="70" t="b">
        <v>0</v>
      </c>
      <c r="K93" s="77" t="b">
        <v>0</v>
      </c>
      <c r="L93" s="70" t="b">
        <v>0</v>
      </c>
      <c r="M93" s="70" t="b">
        <v>0</v>
      </c>
      <c r="N93" s="1" t="e">
        <f t="array" aca="1" ref="N93" ca="1">_xludf.XLOOKUP(A93,'3. 도서별 작업 현황'!A:A,'3. 도서별 작업 현황'!Z:Z,"")</f>
        <v>#NAME?</v>
      </c>
    </row>
    <row r="94" spans="1:14" ht="22.5" customHeight="1">
      <c r="A94" s="1" t="str">
        <f ca="1">IFERROR(__xludf.DUMMYFUNCTION("""COMPUTED_VALUE"""),"SS0093")</f>
        <v>SS0093</v>
      </c>
      <c r="B94" s="1" t="e">
        <f t="array" aca="1" ref="B94" ca="1">_xludf.XLOOKUP(A94, 도서_정보[ID], 도서_정보[도서명], "")</f>
        <v>#NAME?</v>
      </c>
      <c r="C94" s="1" t="e">
        <f t="array" aca="1" ref="C94" ca="1">_xludf.XLOOKUP(A94, 도서_정보[ID], 도서_정보[작업 페이지], "")</f>
        <v>#NAME?</v>
      </c>
      <c r="D94" s="70" t="b">
        <v>0</v>
      </c>
      <c r="E94" s="70" t="b">
        <v>0</v>
      </c>
      <c r="F94" s="75" t="b">
        <v>0</v>
      </c>
      <c r="G94" s="70" t="b">
        <v>0</v>
      </c>
      <c r="H94" s="70" t="b">
        <v>0</v>
      </c>
      <c r="I94" s="76" t="b">
        <v>0</v>
      </c>
      <c r="J94" s="70" t="b">
        <v>0</v>
      </c>
      <c r="K94" s="75" t="b">
        <v>0</v>
      </c>
      <c r="L94" s="70" t="b">
        <v>0</v>
      </c>
      <c r="M94" s="70" t="b">
        <v>0</v>
      </c>
      <c r="N94" s="1" t="e">
        <f t="array" aca="1" ref="N94" ca="1">_xludf.XLOOKUP(A94,'3. 도서별 작업 현황'!A:A,'3. 도서별 작업 현황'!Z:Z,"")</f>
        <v>#NAME?</v>
      </c>
    </row>
    <row r="95" spans="1:14" ht="22.5" customHeight="1">
      <c r="A95" s="1" t="str">
        <f ca="1">IFERROR(__xludf.DUMMYFUNCTION("""COMPUTED_VALUE"""),"SS0094")</f>
        <v>SS0094</v>
      </c>
      <c r="B95" s="1" t="e">
        <f t="array" aca="1" ref="B95" ca="1">_xludf.XLOOKUP(A95, 도서_정보[ID], 도서_정보[도서명], "")</f>
        <v>#NAME?</v>
      </c>
      <c r="C95" s="1" t="e">
        <f t="array" aca="1" ref="C95" ca="1">_xludf.XLOOKUP(A95, 도서_정보[ID], 도서_정보[작업 페이지], "")</f>
        <v>#NAME?</v>
      </c>
      <c r="D95" s="70" t="b">
        <v>0</v>
      </c>
      <c r="E95" s="70" t="b">
        <v>0</v>
      </c>
      <c r="F95" s="77" t="b">
        <v>0</v>
      </c>
      <c r="G95" s="70" t="b">
        <v>0</v>
      </c>
      <c r="H95" s="70" t="b">
        <v>0</v>
      </c>
      <c r="I95" s="76" t="b">
        <v>0</v>
      </c>
      <c r="J95" s="70" t="b">
        <v>0</v>
      </c>
      <c r="K95" s="77" t="b">
        <v>0</v>
      </c>
      <c r="L95" s="70" t="b">
        <v>0</v>
      </c>
      <c r="M95" s="70" t="b">
        <v>0</v>
      </c>
      <c r="N95" s="1" t="e">
        <f t="array" aca="1" ref="N95" ca="1">_xludf.XLOOKUP(A95,'3. 도서별 작업 현황'!A:A,'3. 도서별 작업 현황'!Z:Z,"")</f>
        <v>#NAME?</v>
      </c>
    </row>
    <row r="96" spans="1:14" ht="22.5" customHeight="1">
      <c r="A96" s="1" t="str">
        <f ca="1">IFERROR(__xludf.DUMMYFUNCTION("""COMPUTED_VALUE"""),"SS0095")</f>
        <v>SS0095</v>
      </c>
      <c r="B96" s="1" t="e">
        <f t="array" aca="1" ref="B96" ca="1">_xludf.XLOOKUP(A96, 도서_정보[ID], 도서_정보[도서명], "")</f>
        <v>#NAME?</v>
      </c>
      <c r="C96" s="1" t="e">
        <f t="array" aca="1" ref="C96" ca="1">_xludf.XLOOKUP(A96, 도서_정보[ID], 도서_정보[작업 페이지], "")</f>
        <v>#NAME?</v>
      </c>
      <c r="D96" s="70" t="b">
        <v>0</v>
      </c>
      <c r="E96" s="70" t="b">
        <v>0</v>
      </c>
      <c r="F96" s="75" t="b">
        <v>0</v>
      </c>
      <c r="G96" s="70" t="b">
        <v>0</v>
      </c>
      <c r="H96" s="70" t="b">
        <v>0</v>
      </c>
      <c r="I96" s="76" t="b">
        <v>0</v>
      </c>
      <c r="J96" s="70" t="b">
        <v>0</v>
      </c>
      <c r="K96" s="75" t="b">
        <v>0</v>
      </c>
      <c r="L96" s="70" t="b">
        <v>0</v>
      </c>
      <c r="M96" s="70" t="b">
        <v>0</v>
      </c>
      <c r="N96" s="1" t="e">
        <f t="array" aca="1" ref="N96" ca="1">_xludf.XLOOKUP(A96,'3. 도서별 작업 현황'!A:A,'3. 도서별 작업 현황'!Z:Z,"")</f>
        <v>#NAME?</v>
      </c>
    </row>
    <row r="97" spans="1:14" ht="22.5" customHeight="1">
      <c r="A97" s="1" t="str">
        <f ca="1">IFERROR(__xludf.DUMMYFUNCTION("""COMPUTED_VALUE"""),"SS0096")</f>
        <v>SS0096</v>
      </c>
      <c r="B97" s="1" t="e">
        <f t="array" aca="1" ref="B97" ca="1">_xludf.XLOOKUP(A97, 도서_정보[ID], 도서_정보[도서명], "")</f>
        <v>#NAME?</v>
      </c>
      <c r="C97" s="1" t="e">
        <f t="array" aca="1" ref="C97" ca="1">_xludf.XLOOKUP(A97, 도서_정보[ID], 도서_정보[작업 페이지], "")</f>
        <v>#NAME?</v>
      </c>
      <c r="D97" s="70" t="b">
        <v>0</v>
      </c>
      <c r="E97" s="70" t="b">
        <v>0</v>
      </c>
      <c r="F97" s="77" t="b">
        <v>0</v>
      </c>
      <c r="G97" s="70" t="b">
        <v>0</v>
      </c>
      <c r="H97" s="70" t="b">
        <v>0</v>
      </c>
      <c r="I97" s="76" t="b">
        <v>0</v>
      </c>
      <c r="J97" s="70" t="b">
        <v>0</v>
      </c>
      <c r="K97" s="77" t="b">
        <v>0</v>
      </c>
      <c r="L97" s="70" t="b">
        <v>0</v>
      </c>
      <c r="M97" s="70" t="b">
        <v>0</v>
      </c>
      <c r="N97" s="1" t="e">
        <f t="array" aca="1" ref="N97" ca="1">_xludf.XLOOKUP(A97,'3. 도서별 작업 현황'!A:A,'3. 도서별 작업 현황'!Z:Z,"")</f>
        <v>#NAME?</v>
      </c>
    </row>
    <row r="98" spans="1:14" ht="22.5" customHeight="1">
      <c r="A98" s="1" t="str">
        <f ca="1">IFERROR(__xludf.DUMMYFUNCTION("""COMPUTED_VALUE"""),"SS0097")</f>
        <v>SS0097</v>
      </c>
      <c r="B98" s="1" t="e">
        <f t="array" aca="1" ref="B98" ca="1">_xludf.XLOOKUP(A98, 도서_정보[ID], 도서_정보[도서명], "")</f>
        <v>#NAME?</v>
      </c>
      <c r="C98" s="1" t="e">
        <f t="array" aca="1" ref="C98" ca="1">_xludf.XLOOKUP(A98, 도서_정보[ID], 도서_정보[작업 페이지], "")</f>
        <v>#NAME?</v>
      </c>
      <c r="D98" s="70" t="b">
        <v>0</v>
      </c>
      <c r="E98" s="70" t="b">
        <v>0</v>
      </c>
      <c r="F98" s="75" t="b">
        <v>0</v>
      </c>
      <c r="G98" s="70" t="b">
        <v>0</v>
      </c>
      <c r="H98" s="70" t="b">
        <v>0</v>
      </c>
      <c r="I98" s="76" t="b">
        <v>0</v>
      </c>
      <c r="J98" s="70" t="b">
        <v>0</v>
      </c>
      <c r="K98" s="75" t="b">
        <v>0</v>
      </c>
      <c r="L98" s="70" t="b">
        <v>0</v>
      </c>
      <c r="M98" s="70" t="b">
        <v>0</v>
      </c>
      <c r="N98" s="1" t="e">
        <f t="array" aca="1" ref="N98" ca="1">_xludf.XLOOKUP(A98,'3. 도서별 작업 현황'!A:A,'3. 도서별 작업 현황'!Z:Z,"")</f>
        <v>#NAME?</v>
      </c>
    </row>
    <row r="99" spans="1:14" ht="22.5" customHeight="1">
      <c r="A99" s="1" t="str">
        <f ca="1">IFERROR(__xludf.DUMMYFUNCTION("""COMPUTED_VALUE"""),"SS0098")</f>
        <v>SS0098</v>
      </c>
      <c r="B99" s="1" t="e">
        <f t="array" aca="1" ref="B99" ca="1">_xludf.XLOOKUP(A99, 도서_정보[ID], 도서_정보[도서명], "")</f>
        <v>#NAME?</v>
      </c>
      <c r="C99" s="1" t="e">
        <f t="array" aca="1" ref="C99" ca="1">_xludf.XLOOKUP(A99, 도서_정보[ID], 도서_정보[작업 페이지], "")</f>
        <v>#NAME?</v>
      </c>
      <c r="D99" s="70" t="b">
        <v>0</v>
      </c>
      <c r="E99" s="70" t="b">
        <v>0</v>
      </c>
      <c r="F99" s="77" t="b">
        <v>0</v>
      </c>
      <c r="G99" s="70" t="b">
        <v>0</v>
      </c>
      <c r="H99" s="70" t="b">
        <v>0</v>
      </c>
      <c r="I99" s="76" t="b">
        <v>0</v>
      </c>
      <c r="J99" s="70" t="b">
        <v>0</v>
      </c>
      <c r="K99" s="77" t="b">
        <v>0</v>
      </c>
      <c r="L99" s="70" t="b">
        <v>0</v>
      </c>
      <c r="M99" s="70" t="b">
        <v>0</v>
      </c>
      <c r="N99" s="1" t="e">
        <f t="array" aca="1" ref="N99" ca="1">_xludf.XLOOKUP(A99,'3. 도서별 작업 현황'!A:A,'3. 도서별 작업 현황'!Z:Z,"")</f>
        <v>#NAME?</v>
      </c>
    </row>
    <row r="100" spans="1:14" ht="22.5" customHeight="1">
      <c r="A100" s="1" t="str">
        <f ca="1">IFERROR(__xludf.DUMMYFUNCTION("""COMPUTED_VALUE"""),"SS0099")</f>
        <v>SS0099</v>
      </c>
      <c r="B100" s="1" t="e">
        <f t="array" aca="1" ref="B100" ca="1">_xludf.XLOOKUP(A100, 도서_정보[ID], 도서_정보[도서명], "")</f>
        <v>#NAME?</v>
      </c>
      <c r="C100" s="1" t="e">
        <f t="array" aca="1" ref="C100" ca="1">_xludf.XLOOKUP(A100, 도서_정보[ID], 도서_정보[작업 페이지], "")</f>
        <v>#NAME?</v>
      </c>
      <c r="D100" s="70" t="b">
        <v>0</v>
      </c>
      <c r="E100" s="70" t="b">
        <v>0</v>
      </c>
      <c r="F100" s="75" t="b">
        <v>0</v>
      </c>
      <c r="G100" s="70" t="b">
        <v>0</v>
      </c>
      <c r="H100" s="70" t="b">
        <v>0</v>
      </c>
      <c r="I100" s="76" t="b">
        <v>0</v>
      </c>
      <c r="J100" s="70" t="b">
        <v>0</v>
      </c>
      <c r="K100" s="75" t="b">
        <v>0</v>
      </c>
      <c r="L100" s="70" t="b">
        <v>0</v>
      </c>
      <c r="M100" s="70" t="b">
        <v>0</v>
      </c>
      <c r="N100" s="1"/>
    </row>
    <row r="101" spans="1:14" ht="22.5" customHeight="1">
      <c r="A101" s="1" t="str">
        <f ca="1">IFERROR(__xludf.DUMMYFUNCTION("""COMPUTED_VALUE"""),"SS0100")</f>
        <v>SS0100</v>
      </c>
      <c r="B101" s="1" t="e">
        <f t="array" aca="1" ref="B101" ca="1">_xludf.XLOOKUP(A101, 도서_정보[ID], 도서_정보[도서명], "")</f>
        <v>#NAME?</v>
      </c>
      <c r="C101" s="1" t="e">
        <f t="array" aca="1" ref="C101" ca="1">_xludf.XLOOKUP(A101, 도서_정보[ID], 도서_정보[작업 페이지], "")</f>
        <v>#NAME?</v>
      </c>
      <c r="D101" s="70" t="b">
        <v>0</v>
      </c>
      <c r="E101" s="70" t="b">
        <v>0</v>
      </c>
      <c r="F101" s="77" t="b">
        <v>0</v>
      </c>
      <c r="G101" s="70" t="b">
        <v>0</v>
      </c>
      <c r="H101" s="70" t="b">
        <v>0</v>
      </c>
      <c r="I101" s="76" t="b">
        <v>0</v>
      </c>
      <c r="J101" s="70" t="b">
        <v>0</v>
      </c>
      <c r="K101" s="77" t="b">
        <v>0</v>
      </c>
      <c r="L101" s="70" t="b">
        <v>0</v>
      </c>
      <c r="M101" s="70" t="b">
        <v>0</v>
      </c>
      <c r="N101" s="1"/>
    </row>
    <row r="102" spans="1:14" ht="22.5" customHeight="1">
      <c r="A102" s="1" t="str">
        <f ca="1">IFERROR(__xludf.DUMMYFUNCTION("""COMPUTED_VALUE"""),"SS0101")</f>
        <v>SS0101</v>
      </c>
      <c r="B102" s="1" t="e">
        <f t="array" aca="1" ref="B102" ca="1">_xludf.XLOOKUP(A102, 도서_정보[ID], 도서_정보[도서명], "")</f>
        <v>#NAME?</v>
      </c>
      <c r="C102" s="1" t="e">
        <f t="array" aca="1" ref="C102" ca="1">_xludf.XLOOKUP(A102, 도서_정보[ID], 도서_정보[작업 페이지], "")</f>
        <v>#NAME?</v>
      </c>
      <c r="D102" s="70" t="b">
        <v>0</v>
      </c>
      <c r="E102" s="70" t="b">
        <v>0</v>
      </c>
      <c r="F102" s="75" t="b">
        <v>0</v>
      </c>
      <c r="G102" s="70" t="b">
        <v>0</v>
      </c>
      <c r="H102" s="70" t="b">
        <v>0</v>
      </c>
      <c r="I102" s="76" t="b">
        <v>0</v>
      </c>
      <c r="J102" s="70" t="b">
        <v>0</v>
      </c>
      <c r="K102" s="75" t="b">
        <v>0</v>
      </c>
      <c r="L102" s="70" t="b">
        <v>0</v>
      </c>
      <c r="M102" s="70" t="b">
        <v>0</v>
      </c>
      <c r="N102" s="1"/>
    </row>
    <row r="103" spans="1:14" ht="22.5" customHeight="1">
      <c r="A103" s="1" t="str">
        <f ca="1">IFERROR(__xludf.DUMMYFUNCTION("""COMPUTED_VALUE"""),"SS0102")</f>
        <v>SS0102</v>
      </c>
      <c r="B103" s="1" t="e">
        <f t="array" aca="1" ref="B103" ca="1">_xludf.XLOOKUP(A103, 도서_정보[ID], 도서_정보[도서명], "")</f>
        <v>#NAME?</v>
      </c>
      <c r="C103" s="1" t="e">
        <f t="array" aca="1" ref="C103" ca="1">_xludf.XLOOKUP(A103, 도서_정보[ID], 도서_정보[작업 페이지], "")</f>
        <v>#NAME?</v>
      </c>
      <c r="D103" s="70" t="b">
        <v>0</v>
      </c>
      <c r="E103" s="70" t="b">
        <v>0</v>
      </c>
      <c r="F103" s="77" t="b">
        <v>0</v>
      </c>
      <c r="G103" s="70" t="b">
        <v>0</v>
      </c>
      <c r="H103" s="70" t="b">
        <v>0</v>
      </c>
      <c r="I103" s="76" t="b">
        <v>0</v>
      </c>
      <c r="J103" s="70" t="b">
        <v>0</v>
      </c>
      <c r="K103" s="77" t="b">
        <v>0</v>
      </c>
      <c r="L103" s="70" t="b">
        <v>0</v>
      </c>
      <c r="M103" s="70" t="b">
        <v>0</v>
      </c>
      <c r="N103" s="1"/>
    </row>
    <row r="104" spans="1:14" ht="22.5" customHeight="1">
      <c r="A104" s="1" t="str">
        <f ca="1">IFERROR(__xludf.DUMMYFUNCTION("""COMPUTED_VALUE"""),"SS0103")</f>
        <v>SS0103</v>
      </c>
      <c r="B104" s="1" t="e">
        <f t="array" aca="1" ref="B104" ca="1">_xludf.XLOOKUP(A104, 도서_정보[ID], 도서_정보[도서명], "")</f>
        <v>#NAME?</v>
      </c>
      <c r="C104" s="1" t="e">
        <f t="array" aca="1" ref="C104" ca="1">_xludf.XLOOKUP(A104, 도서_정보[ID], 도서_정보[작업 페이지], "")</f>
        <v>#NAME?</v>
      </c>
      <c r="D104" s="70" t="b">
        <v>0</v>
      </c>
      <c r="E104" s="70" t="b">
        <v>0</v>
      </c>
      <c r="F104" s="75" t="b">
        <v>0</v>
      </c>
      <c r="G104" s="70" t="b">
        <v>0</v>
      </c>
      <c r="H104" s="70" t="b">
        <v>0</v>
      </c>
      <c r="I104" s="76" t="b">
        <v>0</v>
      </c>
      <c r="J104" s="70" t="b">
        <v>0</v>
      </c>
      <c r="K104" s="75" t="b">
        <v>0</v>
      </c>
      <c r="L104" s="70" t="b">
        <v>0</v>
      </c>
      <c r="M104" s="70" t="b">
        <v>0</v>
      </c>
      <c r="N104" s="1"/>
    </row>
    <row r="105" spans="1:14" ht="22.5" customHeight="1">
      <c r="A105" s="1" t="str">
        <f ca="1">IFERROR(__xludf.DUMMYFUNCTION("""COMPUTED_VALUE"""),"SS0104")</f>
        <v>SS0104</v>
      </c>
      <c r="B105" s="1" t="e">
        <f t="array" aca="1" ref="B105" ca="1">_xludf.XLOOKUP(A105, 도서_정보[ID], 도서_정보[도서명], "")</f>
        <v>#NAME?</v>
      </c>
      <c r="C105" s="1" t="e">
        <f t="array" aca="1" ref="C105" ca="1">_xludf.XLOOKUP(A105, 도서_정보[ID], 도서_정보[작업 페이지], "")</f>
        <v>#NAME?</v>
      </c>
      <c r="D105" s="70" t="b">
        <v>0</v>
      </c>
      <c r="E105" s="70" t="b">
        <v>0</v>
      </c>
      <c r="F105" s="77" t="b">
        <v>0</v>
      </c>
      <c r="G105" s="70" t="b">
        <v>0</v>
      </c>
      <c r="H105" s="70" t="b">
        <v>0</v>
      </c>
      <c r="I105" s="76" t="b">
        <v>0</v>
      </c>
      <c r="J105" s="70" t="b">
        <v>0</v>
      </c>
      <c r="K105" s="77" t="b">
        <v>0</v>
      </c>
      <c r="L105" s="70" t="b">
        <v>0</v>
      </c>
      <c r="M105" s="70" t="b">
        <v>0</v>
      </c>
      <c r="N105" s="1"/>
    </row>
    <row r="106" spans="1:14" ht="22.5" customHeight="1">
      <c r="A106" s="1" t="str">
        <f ca="1">IFERROR(__xludf.DUMMYFUNCTION("""COMPUTED_VALUE"""),"SS0105")</f>
        <v>SS0105</v>
      </c>
      <c r="B106" s="1" t="e">
        <f t="array" aca="1" ref="B106" ca="1">_xludf.XLOOKUP(A106, 도서_정보[ID], 도서_정보[도서명], "")</f>
        <v>#NAME?</v>
      </c>
      <c r="C106" s="1" t="e">
        <f t="array" aca="1" ref="C106" ca="1">_xludf.XLOOKUP(A106, 도서_정보[ID], 도서_정보[작업 페이지], "")</f>
        <v>#NAME?</v>
      </c>
      <c r="D106" s="70" t="b">
        <v>0</v>
      </c>
      <c r="E106" s="70" t="b">
        <v>0</v>
      </c>
      <c r="F106" s="75" t="b">
        <v>0</v>
      </c>
      <c r="G106" s="70" t="b">
        <v>0</v>
      </c>
      <c r="H106" s="70" t="b">
        <v>0</v>
      </c>
      <c r="I106" s="76" t="b">
        <v>0</v>
      </c>
      <c r="J106" s="70" t="b">
        <v>0</v>
      </c>
      <c r="K106" s="75" t="b">
        <v>0</v>
      </c>
      <c r="L106" s="70" t="b">
        <v>0</v>
      </c>
      <c r="M106" s="70" t="b">
        <v>0</v>
      </c>
      <c r="N106" s="1"/>
    </row>
    <row r="107" spans="1:14" ht="22.5" customHeight="1">
      <c r="A107" s="1" t="str">
        <f ca="1">IFERROR(__xludf.DUMMYFUNCTION("""COMPUTED_VALUE"""),"SS0106")</f>
        <v>SS0106</v>
      </c>
      <c r="B107" s="1" t="e">
        <f t="array" aca="1" ref="B107" ca="1">_xludf.XLOOKUP(A107, 도서_정보[ID], 도서_정보[도서명], "")</f>
        <v>#NAME?</v>
      </c>
      <c r="C107" s="1" t="e">
        <f t="array" aca="1" ref="C107" ca="1">_xludf.XLOOKUP(A107, 도서_정보[ID], 도서_정보[작업 페이지], "")</f>
        <v>#NAME?</v>
      </c>
      <c r="D107" s="70" t="b">
        <v>0</v>
      </c>
      <c r="E107" s="70" t="b">
        <v>0</v>
      </c>
      <c r="F107" s="77" t="b">
        <v>0</v>
      </c>
      <c r="G107" s="70" t="b">
        <v>0</v>
      </c>
      <c r="H107" s="70" t="b">
        <v>0</v>
      </c>
      <c r="I107" s="76" t="b">
        <v>0</v>
      </c>
      <c r="J107" s="70" t="b">
        <v>0</v>
      </c>
      <c r="K107" s="77" t="b">
        <v>0</v>
      </c>
      <c r="L107" s="70" t="b">
        <v>0</v>
      </c>
      <c r="M107" s="70" t="b">
        <v>0</v>
      </c>
      <c r="N107" s="1"/>
    </row>
    <row r="108" spans="1:14" ht="22.5" customHeight="1">
      <c r="A108" s="1" t="str">
        <f ca="1">IFERROR(__xludf.DUMMYFUNCTION("""COMPUTED_VALUE"""),"SS0107")</f>
        <v>SS0107</v>
      </c>
      <c r="B108" s="1" t="e">
        <f t="array" aca="1" ref="B108" ca="1">_xludf.XLOOKUP(A108, 도서_정보[ID], 도서_정보[도서명], "")</f>
        <v>#NAME?</v>
      </c>
      <c r="C108" s="1" t="e">
        <f t="array" aca="1" ref="C108" ca="1">_xludf.XLOOKUP(A108, 도서_정보[ID], 도서_정보[작업 페이지], "")</f>
        <v>#NAME?</v>
      </c>
      <c r="D108" s="70" t="b">
        <v>0</v>
      </c>
      <c r="E108" s="70" t="b">
        <v>0</v>
      </c>
      <c r="F108" s="78" t="b">
        <v>0</v>
      </c>
      <c r="G108" s="70" t="b">
        <v>0</v>
      </c>
      <c r="H108" s="70" t="b">
        <v>0</v>
      </c>
      <c r="I108" s="76" t="b">
        <v>0</v>
      </c>
      <c r="J108" s="70" t="b">
        <v>0</v>
      </c>
      <c r="K108" s="78" t="b">
        <v>0</v>
      </c>
      <c r="L108" s="70" t="b">
        <v>0</v>
      </c>
      <c r="M108" s="70" t="b">
        <v>0</v>
      </c>
      <c r="N108" s="1"/>
    </row>
    <row r="109" spans="1:14" ht="22.5" customHeight="1">
      <c r="A109" s="1" t="str">
        <f ca="1">IFERROR(__xludf.DUMMYFUNCTION("""COMPUTED_VALUE"""),"SS0179")</f>
        <v>SS0179</v>
      </c>
      <c r="B109" s="1" t="e">
        <f t="array" aca="1" ref="B109" ca="1">_xludf.XLOOKUP(A109, 도서_정보[ID], 도서_정보[도서명], "")</f>
        <v>#NAME?</v>
      </c>
      <c r="C109" s="1" t="e">
        <f t="array" aca="1" ref="C109" ca="1">_xludf.XLOOKUP(A109, 도서_정보[ID], 도서_정보[작업 페이지], "")</f>
        <v>#NAME?</v>
      </c>
      <c r="D109" s="70" t="b">
        <v>0</v>
      </c>
      <c r="E109" s="70" t="b">
        <v>0</v>
      </c>
      <c r="F109" s="79" t="b">
        <v>0</v>
      </c>
      <c r="G109" s="70" t="b">
        <v>0</v>
      </c>
      <c r="H109" s="70" t="b">
        <v>0</v>
      </c>
      <c r="I109" s="70" t="b">
        <v>0</v>
      </c>
      <c r="J109" s="70" t="b">
        <v>0</v>
      </c>
      <c r="K109" s="79" t="b">
        <v>0</v>
      </c>
      <c r="L109" s="70" t="b">
        <v>0</v>
      </c>
      <c r="M109" s="70" t="b">
        <v>0</v>
      </c>
      <c r="N109" s="1"/>
    </row>
    <row r="110" spans="1:14" ht="22.5" customHeight="1">
      <c r="A110" s="1" t="str">
        <f ca="1">IFERROR(__xludf.DUMMYFUNCTION("""COMPUTED_VALUE"""),"SS0230")</f>
        <v>SS0230</v>
      </c>
      <c r="B110" s="1" t="e">
        <f t="array" aca="1" ref="B110" ca="1">_xludf.XLOOKUP(A110, 도서_정보[ID], 도서_정보[도서명], "")</f>
        <v>#NAME?</v>
      </c>
      <c r="C110" s="1" t="e">
        <f t="array" aca="1" ref="C110" ca="1">_xludf.XLOOKUP(A110, 도서_정보[ID], 도서_정보[작업 페이지], "")</f>
        <v>#NAME?</v>
      </c>
      <c r="D110" s="70" t="b">
        <v>0</v>
      </c>
      <c r="E110" s="70" t="b">
        <v>0</v>
      </c>
      <c r="F110" s="79" t="b">
        <v>0</v>
      </c>
      <c r="G110" s="70" t="b">
        <v>0</v>
      </c>
      <c r="H110" s="70" t="b">
        <v>0</v>
      </c>
      <c r="I110" s="70" t="b">
        <v>0</v>
      </c>
      <c r="J110" s="70" t="b">
        <v>0</v>
      </c>
      <c r="K110" s="79" t="b">
        <v>0</v>
      </c>
      <c r="L110" s="70" t="b">
        <v>0</v>
      </c>
      <c r="M110" s="70" t="b">
        <v>0</v>
      </c>
      <c r="N110" s="1"/>
    </row>
    <row r="111" spans="1:14" ht="22.5" customHeight="1">
      <c r="A111" s="1" t="str">
        <f ca="1">IFERROR(__xludf.DUMMYFUNCTION("""COMPUTED_VALUE"""),"open_data_2st")</f>
        <v>open_data_2st</v>
      </c>
      <c r="B111" s="1" t="e">
        <f t="array" aca="1" ref="B111" ca="1">_xludf.XLOOKUP(A111, 도서_정보[ID], 도서_정보[도서명], "")</f>
        <v>#NAME?</v>
      </c>
      <c r="C111" s="1" t="e">
        <f t="array" aca="1" ref="C111" ca="1">_xludf.XLOOKUP(A111, 도서_정보[ID], 도서_정보[작업 페이지], "")</f>
        <v>#NAME?</v>
      </c>
      <c r="D111" s="70" t="b">
        <v>0</v>
      </c>
      <c r="E111" s="70" t="b">
        <v>0</v>
      </c>
      <c r="F111" s="79" t="b">
        <v>0</v>
      </c>
      <c r="G111" s="70" t="b">
        <v>0</v>
      </c>
      <c r="H111" s="70" t="b">
        <v>0</v>
      </c>
      <c r="I111" s="70" t="b">
        <v>0</v>
      </c>
      <c r="J111" s="70" t="b">
        <v>0</v>
      </c>
      <c r="K111" s="79" t="b">
        <v>0</v>
      </c>
      <c r="L111" s="70" t="b">
        <v>0</v>
      </c>
      <c r="M111" s="70" t="b">
        <v>0</v>
      </c>
      <c r="N111" s="1"/>
    </row>
    <row r="112" spans="1:14" ht="22.5" customHeight="1">
      <c r="A112" s="1"/>
      <c r="B112" s="1" t="e">
        <f t="array" aca="1" ref="B112" ca="1">_xludf.XLOOKUP(A112, 도서_정보[ID], 도서_정보[도서명], "")</f>
        <v>#NAME?</v>
      </c>
      <c r="C112" s="1" t="e">
        <f t="array" aca="1" ref="C112" ca="1">_xludf.XLOOKUP(A112, 도서_정보[ID], 도서_정보[작업 페이지], "")</f>
        <v>#NAME?</v>
      </c>
      <c r="D112" s="70" t="b">
        <v>0</v>
      </c>
      <c r="E112" s="70" t="b">
        <v>0</v>
      </c>
      <c r="F112" s="79" t="b">
        <v>0</v>
      </c>
      <c r="G112" s="70" t="b">
        <v>0</v>
      </c>
      <c r="H112" s="70" t="b">
        <v>0</v>
      </c>
      <c r="I112" s="70" t="b">
        <v>0</v>
      </c>
      <c r="J112" s="70" t="b">
        <v>0</v>
      </c>
      <c r="K112" s="79" t="b">
        <v>0</v>
      </c>
      <c r="L112" s="70" t="b">
        <v>0</v>
      </c>
      <c r="M112" s="70" t="b">
        <v>0</v>
      </c>
      <c r="N112" s="1"/>
    </row>
    <row r="113" spans="1:14" ht="22.5" customHeight="1">
      <c r="A113" s="1"/>
      <c r="B113" s="1" t="e">
        <f t="array" aca="1" ref="B113" ca="1">_xludf.XLOOKUP(A113, 도서_정보[ID], 도서_정보[도서명], "")</f>
        <v>#NAME?</v>
      </c>
      <c r="C113" s="1" t="e">
        <f t="array" aca="1" ref="C113" ca="1">_xludf.XLOOKUP(A113, 도서_정보[ID], 도서_정보[작업 페이지], "")</f>
        <v>#NAME?</v>
      </c>
      <c r="D113" s="70" t="b">
        <v>0</v>
      </c>
      <c r="E113" s="70" t="b">
        <v>0</v>
      </c>
      <c r="F113" s="79" t="b">
        <v>0</v>
      </c>
      <c r="G113" s="70" t="b">
        <v>0</v>
      </c>
      <c r="H113" s="70" t="b">
        <v>0</v>
      </c>
      <c r="I113" s="70" t="b">
        <v>0</v>
      </c>
      <c r="J113" s="70" t="b">
        <v>0</v>
      </c>
      <c r="K113" s="79" t="b">
        <v>0</v>
      </c>
      <c r="L113" s="70" t="b">
        <v>0</v>
      </c>
      <c r="M113" s="70" t="b">
        <v>0</v>
      </c>
      <c r="N113" s="1"/>
    </row>
    <row r="114" spans="1:14" ht="22.5" customHeight="1">
      <c r="A114" s="1"/>
      <c r="B114" s="1" t="e">
        <f t="array" aca="1" ref="B114" ca="1">_xludf.XLOOKUP(A114, 도서_정보[ID], 도서_정보[도서명], "")</f>
        <v>#NAME?</v>
      </c>
      <c r="C114" s="1" t="e">
        <f t="array" aca="1" ref="C114" ca="1">_xludf.XLOOKUP(A114, 도서_정보[ID], 도서_정보[작업 페이지], "")</f>
        <v>#NAME?</v>
      </c>
      <c r="D114" s="70" t="b">
        <v>0</v>
      </c>
      <c r="E114" s="70" t="b">
        <v>0</v>
      </c>
      <c r="F114" s="79" t="b">
        <v>0</v>
      </c>
      <c r="G114" s="70" t="b">
        <v>0</v>
      </c>
      <c r="H114" s="70" t="b">
        <v>0</v>
      </c>
      <c r="I114" s="70" t="b">
        <v>0</v>
      </c>
      <c r="J114" s="70" t="b">
        <v>0</v>
      </c>
      <c r="K114" s="79" t="b">
        <v>0</v>
      </c>
      <c r="L114" s="70" t="b">
        <v>0</v>
      </c>
      <c r="M114" s="70" t="b">
        <v>0</v>
      </c>
      <c r="N114" s="1"/>
    </row>
    <row r="115" spans="1:14" ht="22.5" customHeight="1">
      <c r="A115" s="1"/>
      <c r="B115" s="1" t="e">
        <f t="array" aca="1" ref="B115" ca="1">_xludf.XLOOKUP(A115, 도서_정보[ID], 도서_정보[도서명], "")</f>
        <v>#NAME?</v>
      </c>
      <c r="C115" s="1" t="e">
        <f t="array" aca="1" ref="C115" ca="1">_xludf.XLOOKUP(A115, 도서_정보[ID], 도서_정보[작업 페이지], "")</f>
        <v>#NAME?</v>
      </c>
      <c r="D115" s="70" t="b">
        <v>0</v>
      </c>
      <c r="E115" s="70" t="b">
        <v>0</v>
      </c>
      <c r="F115" s="79" t="b">
        <v>0</v>
      </c>
      <c r="G115" s="70" t="b">
        <v>0</v>
      </c>
      <c r="H115" s="70" t="b">
        <v>0</v>
      </c>
      <c r="I115" s="70" t="b">
        <v>0</v>
      </c>
      <c r="J115" s="70" t="b">
        <v>0</v>
      </c>
      <c r="K115" s="79" t="b">
        <v>0</v>
      </c>
      <c r="L115" s="70" t="b">
        <v>0</v>
      </c>
      <c r="M115" s="70" t="b">
        <v>0</v>
      </c>
      <c r="N115" s="1"/>
    </row>
    <row r="116" spans="1:14" ht="22.5" customHeight="1">
      <c r="A116" s="1"/>
      <c r="B116" s="1" t="e">
        <f t="array" aca="1" ref="B116" ca="1">_xludf.XLOOKUP(A116, 도서_정보[ID], 도서_정보[도서명], "")</f>
        <v>#NAME?</v>
      </c>
      <c r="C116" s="1" t="e">
        <f t="array" aca="1" ref="C116" ca="1">_xludf.XLOOKUP(A116, 도서_정보[ID], 도서_정보[작업 페이지], "")</f>
        <v>#NAME?</v>
      </c>
      <c r="D116" s="70" t="b">
        <v>0</v>
      </c>
      <c r="E116" s="70" t="b">
        <v>0</v>
      </c>
      <c r="F116" s="79" t="b">
        <v>0</v>
      </c>
      <c r="G116" s="70" t="b">
        <v>0</v>
      </c>
      <c r="H116" s="70" t="b">
        <v>0</v>
      </c>
      <c r="I116" s="70" t="b">
        <v>0</v>
      </c>
      <c r="J116" s="70" t="b">
        <v>0</v>
      </c>
      <c r="K116" s="79" t="b">
        <v>0</v>
      </c>
      <c r="L116" s="70" t="b">
        <v>0</v>
      </c>
      <c r="M116" s="70" t="b">
        <v>0</v>
      </c>
      <c r="N116" s="1"/>
    </row>
    <row r="117" spans="1:14" ht="22.5" customHeight="1">
      <c r="A117" s="1"/>
      <c r="B117" s="1" t="e">
        <f t="array" aca="1" ref="B117" ca="1">_xludf.XLOOKUP(A117, 도서_정보[ID], 도서_정보[도서명], "")</f>
        <v>#NAME?</v>
      </c>
      <c r="C117" s="1" t="e">
        <f t="array" aca="1" ref="C117" ca="1">_xludf.XLOOKUP(A117, 도서_정보[ID], 도서_정보[작업 페이지], "")</f>
        <v>#NAME?</v>
      </c>
      <c r="D117" s="70" t="b">
        <v>0</v>
      </c>
      <c r="E117" s="70" t="b">
        <v>0</v>
      </c>
      <c r="F117" s="79" t="b">
        <v>0</v>
      </c>
      <c r="G117" s="70" t="b">
        <v>0</v>
      </c>
      <c r="H117" s="70" t="b">
        <v>0</v>
      </c>
      <c r="I117" s="70" t="b">
        <v>0</v>
      </c>
      <c r="J117" s="70" t="b">
        <v>0</v>
      </c>
      <c r="K117" s="79" t="b">
        <v>0</v>
      </c>
      <c r="L117" s="70" t="b">
        <v>0</v>
      </c>
      <c r="M117" s="70" t="b">
        <v>0</v>
      </c>
      <c r="N117" s="1"/>
    </row>
    <row r="118" spans="1:14" ht="22.5" customHeight="1">
      <c r="A118" s="1"/>
      <c r="B118" s="1" t="e">
        <f t="array" aca="1" ref="B118" ca="1">_xludf.XLOOKUP(A118, 도서_정보[ID], 도서_정보[도서명], "")</f>
        <v>#NAME?</v>
      </c>
      <c r="C118" s="1" t="e">
        <f t="array" aca="1" ref="C118" ca="1">_xludf.XLOOKUP(A118, 도서_정보[ID], 도서_정보[작업 페이지], "")</f>
        <v>#NAME?</v>
      </c>
      <c r="D118" s="70" t="b">
        <v>0</v>
      </c>
      <c r="E118" s="70" t="b">
        <v>0</v>
      </c>
      <c r="F118" s="79" t="b">
        <v>0</v>
      </c>
      <c r="G118" s="70" t="b">
        <v>0</v>
      </c>
      <c r="H118" s="70" t="b">
        <v>0</v>
      </c>
      <c r="I118" s="70" t="b">
        <v>0</v>
      </c>
      <c r="J118" s="70" t="b">
        <v>0</v>
      </c>
      <c r="K118" s="79" t="b">
        <v>0</v>
      </c>
      <c r="L118" s="70" t="b">
        <v>0</v>
      </c>
      <c r="M118" s="70" t="b">
        <v>0</v>
      </c>
      <c r="N118" s="1"/>
    </row>
    <row r="119" spans="1:14" ht="22.5" customHeight="1">
      <c r="A119" s="1"/>
      <c r="B119" s="1" t="e">
        <f t="array" aca="1" ref="B119" ca="1">_xludf.XLOOKUP(A119, 도서_정보[ID], 도서_정보[도서명], "")</f>
        <v>#NAME?</v>
      </c>
      <c r="C119" s="1" t="e">
        <f t="array" aca="1" ref="C119" ca="1">_xludf.XLOOKUP(A119, 도서_정보[ID], 도서_정보[작업 페이지], "")</f>
        <v>#NAME?</v>
      </c>
      <c r="D119" s="70" t="b">
        <v>0</v>
      </c>
      <c r="E119" s="70" t="b">
        <v>0</v>
      </c>
      <c r="F119" s="79" t="b">
        <v>0</v>
      </c>
      <c r="G119" s="70" t="b">
        <v>0</v>
      </c>
      <c r="H119" s="70" t="b">
        <v>0</v>
      </c>
      <c r="I119" s="70" t="b">
        <v>0</v>
      </c>
      <c r="J119" s="70" t="b">
        <v>0</v>
      </c>
      <c r="K119" s="79" t="b">
        <v>0</v>
      </c>
      <c r="L119" s="70" t="b">
        <v>0</v>
      </c>
      <c r="M119" s="70" t="b">
        <v>0</v>
      </c>
      <c r="N119" s="1"/>
    </row>
    <row r="120" spans="1:14" ht="22.5" customHeight="1">
      <c r="A120" s="1"/>
      <c r="B120" s="1" t="e">
        <f t="array" aca="1" ref="B120" ca="1">_xludf.XLOOKUP(A120, 도서_정보[ID], 도서_정보[도서명], "")</f>
        <v>#NAME?</v>
      </c>
      <c r="C120" s="1" t="e">
        <f t="array" aca="1" ref="C120" ca="1">_xludf.XLOOKUP(A120, 도서_정보[ID], 도서_정보[작업 페이지], "")</f>
        <v>#NAME?</v>
      </c>
      <c r="D120" s="70" t="b">
        <v>0</v>
      </c>
      <c r="E120" s="70" t="b">
        <v>0</v>
      </c>
      <c r="F120" s="79" t="b">
        <v>0</v>
      </c>
      <c r="G120" s="70" t="b">
        <v>0</v>
      </c>
      <c r="H120" s="70" t="b">
        <v>0</v>
      </c>
      <c r="I120" s="70" t="b">
        <v>0</v>
      </c>
      <c r="J120" s="70" t="b">
        <v>0</v>
      </c>
      <c r="K120" s="79" t="b">
        <v>0</v>
      </c>
      <c r="L120" s="70" t="b">
        <v>0</v>
      </c>
      <c r="M120" s="70" t="b">
        <v>0</v>
      </c>
      <c r="N120" s="1"/>
    </row>
    <row r="121" spans="1:14" ht="22.5" customHeight="1">
      <c r="A121" s="1"/>
      <c r="B121" s="1" t="e">
        <f t="array" aca="1" ref="B121" ca="1">_xludf.XLOOKUP(A121, 도서_정보[ID], 도서_정보[도서명], "")</f>
        <v>#NAME?</v>
      </c>
      <c r="C121" s="1" t="e">
        <f t="array" aca="1" ref="C121" ca="1">_xludf.XLOOKUP(A121, 도서_정보[ID], 도서_정보[작업 페이지], "")</f>
        <v>#NAME?</v>
      </c>
      <c r="D121" s="70" t="b">
        <v>0</v>
      </c>
      <c r="E121" s="70" t="b">
        <v>0</v>
      </c>
      <c r="F121" s="79" t="b">
        <v>0</v>
      </c>
      <c r="G121" s="70" t="b">
        <v>0</v>
      </c>
      <c r="H121" s="70" t="b">
        <v>0</v>
      </c>
      <c r="I121" s="70" t="b">
        <v>0</v>
      </c>
      <c r="J121" s="70" t="b">
        <v>0</v>
      </c>
      <c r="K121" s="79" t="b">
        <v>0</v>
      </c>
      <c r="L121" s="70" t="b">
        <v>0</v>
      </c>
      <c r="M121" s="70" t="b">
        <v>0</v>
      </c>
      <c r="N121" s="1"/>
    </row>
    <row r="122" spans="1:14" ht="22.5" customHeight="1">
      <c r="A122" s="1"/>
      <c r="B122" s="1" t="e">
        <f t="array" aca="1" ref="B122" ca="1">_xludf.XLOOKUP(A122, 도서_정보[ID], 도서_정보[도서명], "")</f>
        <v>#NAME?</v>
      </c>
      <c r="C122" s="1" t="e">
        <f t="array" aca="1" ref="C122" ca="1">_xludf.XLOOKUP(A122, 도서_정보[ID], 도서_정보[작업 페이지], "")</f>
        <v>#NAME?</v>
      </c>
      <c r="D122" s="70" t="b">
        <v>0</v>
      </c>
      <c r="E122" s="70" t="b">
        <v>0</v>
      </c>
      <c r="F122" s="79" t="b">
        <v>0</v>
      </c>
      <c r="G122" s="70" t="b">
        <v>0</v>
      </c>
      <c r="H122" s="70" t="b">
        <v>0</v>
      </c>
      <c r="I122" s="70" t="b">
        <v>0</v>
      </c>
      <c r="J122" s="70" t="b">
        <v>0</v>
      </c>
      <c r="K122" s="79" t="b">
        <v>0</v>
      </c>
      <c r="L122" s="70" t="b">
        <v>0</v>
      </c>
      <c r="M122" s="70" t="b">
        <v>0</v>
      </c>
      <c r="N122" s="1"/>
    </row>
    <row r="123" spans="1:14" ht="22.5" customHeight="1">
      <c r="A123" s="1"/>
      <c r="B123" s="1" t="e">
        <f t="array" aca="1" ref="B123" ca="1">_xludf.XLOOKUP(A123, 도서_정보[ID], 도서_정보[도서명], "")</f>
        <v>#NAME?</v>
      </c>
      <c r="C123" s="1" t="e">
        <f t="array" aca="1" ref="C123" ca="1">_xludf.XLOOKUP(A123, 도서_정보[ID], 도서_정보[작업 페이지], "")</f>
        <v>#NAME?</v>
      </c>
      <c r="D123" s="70" t="b">
        <v>0</v>
      </c>
      <c r="E123" s="70" t="b">
        <v>0</v>
      </c>
      <c r="F123" s="79" t="b">
        <v>0</v>
      </c>
      <c r="G123" s="70" t="b">
        <v>0</v>
      </c>
      <c r="H123" s="70" t="b">
        <v>0</v>
      </c>
      <c r="I123" s="70" t="b">
        <v>0</v>
      </c>
      <c r="J123" s="70" t="b">
        <v>0</v>
      </c>
      <c r="K123" s="79" t="b">
        <v>0</v>
      </c>
      <c r="L123" s="70" t="b">
        <v>0</v>
      </c>
      <c r="M123" s="70" t="b">
        <v>0</v>
      </c>
      <c r="N123" s="1"/>
    </row>
    <row r="124" spans="1:14" ht="22.5" customHeight="1">
      <c r="A124" s="1"/>
      <c r="B124" s="1" t="e">
        <f t="array" aca="1" ref="B124" ca="1">_xludf.XLOOKUP(A124, 도서_정보[ID], 도서_정보[도서명], "")</f>
        <v>#NAME?</v>
      </c>
      <c r="C124" s="1" t="e">
        <f t="array" aca="1" ref="C124" ca="1">_xludf.XLOOKUP(A124, 도서_정보[ID], 도서_정보[작업 페이지], "")</f>
        <v>#NAME?</v>
      </c>
      <c r="D124" s="70" t="b">
        <v>0</v>
      </c>
      <c r="E124" s="70" t="b">
        <v>0</v>
      </c>
      <c r="F124" s="79" t="b">
        <v>0</v>
      </c>
      <c r="G124" s="70" t="b">
        <v>0</v>
      </c>
      <c r="H124" s="70" t="b">
        <v>0</v>
      </c>
      <c r="I124" s="70" t="b">
        <v>0</v>
      </c>
      <c r="J124" s="70" t="b">
        <v>0</v>
      </c>
      <c r="K124" s="79" t="b">
        <v>0</v>
      </c>
      <c r="L124" s="70" t="b">
        <v>0</v>
      </c>
      <c r="M124" s="70" t="b">
        <v>0</v>
      </c>
      <c r="N124" s="1"/>
    </row>
    <row r="125" spans="1:14" ht="22.5" customHeight="1">
      <c r="A125" s="1"/>
      <c r="B125" s="1" t="e">
        <f t="array" aca="1" ref="B125" ca="1">_xludf.XLOOKUP(A125, 도서_정보[ID], 도서_정보[도서명], "")</f>
        <v>#NAME?</v>
      </c>
      <c r="C125" s="1" t="e">
        <f t="array" aca="1" ref="C125" ca="1">_xludf.XLOOKUP(A125, 도서_정보[ID], 도서_정보[작업 페이지], "")</f>
        <v>#NAME?</v>
      </c>
      <c r="D125" s="70" t="b">
        <v>0</v>
      </c>
      <c r="E125" s="70" t="b">
        <v>0</v>
      </c>
      <c r="F125" s="79" t="b">
        <v>0</v>
      </c>
      <c r="G125" s="70" t="b">
        <v>0</v>
      </c>
      <c r="H125" s="70" t="b">
        <v>0</v>
      </c>
      <c r="I125" s="70" t="b">
        <v>0</v>
      </c>
      <c r="J125" s="70" t="b">
        <v>0</v>
      </c>
      <c r="K125" s="79" t="b">
        <v>0</v>
      </c>
      <c r="L125" s="70" t="b">
        <v>0</v>
      </c>
      <c r="M125" s="70" t="b">
        <v>0</v>
      </c>
      <c r="N125" s="1"/>
    </row>
    <row r="126" spans="1:14" ht="22.5" customHeight="1">
      <c r="A126" s="1"/>
      <c r="B126" s="1" t="e">
        <f t="array" aca="1" ref="B126" ca="1">_xludf.XLOOKUP(A126, 도서_정보[ID], 도서_정보[도서명], "")</f>
        <v>#NAME?</v>
      </c>
      <c r="C126" s="1" t="e">
        <f t="array" aca="1" ref="C126" ca="1">_xludf.XLOOKUP(A126, 도서_정보[ID], 도서_정보[작업 페이지], "")</f>
        <v>#NAME?</v>
      </c>
      <c r="D126" s="70" t="b">
        <v>0</v>
      </c>
      <c r="E126" s="70" t="b">
        <v>0</v>
      </c>
      <c r="F126" s="79" t="b">
        <v>0</v>
      </c>
      <c r="G126" s="70" t="b">
        <v>0</v>
      </c>
      <c r="H126" s="70" t="b">
        <v>0</v>
      </c>
      <c r="I126" s="70" t="b">
        <v>0</v>
      </c>
      <c r="J126" s="70" t="b">
        <v>0</v>
      </c>
      <c r="K126" s="79" t="b">
        <v>0</v>
      </c>
      <c r="L126" s="70" t="b">
        <v>0</v>
      </c>
      <c r="M126" s="70" t="b">
        <v>0</v>
      </c>
      <c r="N126" s="1"/>
    </row>
    <row r="127" spans="1:14" ht="22.5" customHeight="1">
      <c r="A127" s="1"/>
      <c r="B127" s="1" t="e">
        <f t="array" aca="1" ref="B127" ca="1">_xludf.XLOOKUP(A127, 도서_정보[ID], 도서_정보[도서명], "")</f>
        <v>#NAME?</v>
      </c>
      <c r="C127" s="1" t="e">
        <f t="array" aca="1" ref="C127" ca="1">_xludf.XLOOKUP(A127, 도서_정보[ID], 도서_정보[작업 페이지], "")</f>
        <v>#NAME?</v>
      </c>
      <c r="D127" s="70" t="b">
        <v>0</v>
      </c>
      <c r="E127" s="70" t="b">
        <v>0</v>
      </c>
      <c r="F127" s="79" t="b">
        <v>0</v>
      </c>
      <c r="G127" s="70" t="b">
        <v>0</v>
      </c>
      <c r="H127" s="70" t="b">
        <v>0</v>
      </c>
      <c r="I127" s="70" t="b">
        <v>0</v>
      </c>
      <c r="J127" s="70" t="b">
        <v>0</v>
      </c>
      <c r="K127" s="79" t="b">
        <v>0</v>
      </c>
      <c r="L127" s="70" t="b">
        <v>0</v>
      </c>
      <c r="M127" s="70" t="b">
        <v>0</v>
      </c>
      <c r="N127" s="1"/>
    </row>
    <row r="128" spans="1:14" ht="22.5" customHeight="1">
      <c r="A128" s="1"/>
      <c r="B128" s="1" t="e">
        <f t="array" aca="1" ref="B128" ca="1">_xludf.XLOOKUP(A128, 도서_정보[ID], 도서_정보[도서명], "")</f>
        <v>#NAME?</v>
      </c>
      <c r="C128" s="1" t="e">
        <f t="array" aca="1" ref="C128" ca="1">_xludf.XLOOKUP(A128, 도서_정보[ID], 도서_정보[작업 페이지], "")</f>
        <v>#NAME?</v>
      </c>
      <c r="D128" s="70" t="b">
        <v>0</v>
      </c>
      <c r="E128" s="70" t="b">
        <v>0</v>
      </c>
      <c r="F128" s="79" t="b">
        <v>0</v>
      </c>
      <c r="G128" s="70" t="b">
        <v>0</v>
      </c>
      <c r="H128" s="70" t="b">
        <v>0</v>
      </c>
      <c r="I128" s="70" t="b">
        <v>0</v>
      </c>
      <c r="J128" s="70" t="b">
        <v>0</v>
      </c>
      <c r="K128" s="79" t="b">
        <v>0</v>
      </c>
      <c r="L128" s="70" t="b">
        <v>0</v>
      </c>
      <c r="M128" s="70" t="b">
        <v>0</v>
      </c>
      <c r="N128" s="1"/>
    </row>
    <row r="129" spans="1:14" ht="22.5" customHeight="1">
      <c r="A129" s="1"/>
      <c r="B129" s="1" t="e">
        <f t="array" aca="1" ref="B129" ca="1">_xludf.XLOOKUP(A129, 도서_정보[ID], 도서_정보[도서명], "")</f>
        <v>#NAME?</v>
      </c>
      <c r="C129" s="1" t="e">
        <f t="array" aca="1" ref="C129" ca="1">_xludf.XLOOKUP(A129, 도서_정보[ID], 도서_정보[작업 페이지], "")</f>
        <v>#NAME?</v>
      </c>
      <c r="D129" s="70" t="b">
        <v>0</v>
      </c>
      <c r="E129" s="70" t="b">
        <v>0</v>
      </c>
      <c r="F129" s="79" t="b">
        <v>0</v>
      </c>
      <c r="G129" s="70" t="b">
        <v>0</v>
      </c>
      <c r="H129" s="70" t="b">
        <v>0</v>
      </c>
      <c r="I129" s="70" t="b">
        <v>0</v>
      </c>
      <c r="J129" s="70" t="b">
        <v>0</v>
      </c>
      <c r="K129" s="79" t="b">
        <v>0</v>
      </c>
      <c r="L129" s="70" t="b">
        <v>0</v>
      </c>
      <c r="M129" s="70" t="b">
        <v>0</v>
      </c>
      <c r="N129" s="1"/>
    </row>
    <row r="130" spans="1:14" ht="22.5" customHeight="1">
      <c r="A130" s="1"/>
      <c r="B130" s="1" t="e">
        <f t="array" aca="1" ref="B130" ca="1">_xludf.XLOOKUP(A130, 도서_정보[ID], 도서_정보[도서명], "")</f>
        <v>#NAME?</v>
      </c>
      <c r="C130" s="1" t="e">
        <f t="array" aca="1" ref="C130" ca="1">_xludf.XLOOKUP(A130, 도서_정보[ID], 도서_정보[작업 페이지], "")</f>
        <v>#NAME?</v>
      </c>
      <c r="D130" s="70" t="b">
        <v>0</v>
      </c>
      <c r="E130" s="70" t="b">
        <v>0</v>
      </c>
      <c r="F130" s="79" t="b">
        <v>0</v>
      </c>
      <c r="G130" s="70" t="b">
        <v>0</v>
      </c>
      <c r="H130" s="70" t="b">
        <v>0</v>
      </c>
      <c r="I130" s="70" t="b">
        <v>0</v>
      </c>
      <c r="J130" s="70" t="b">
        <v>0</v>
      </c>
      <c r="K130" s="79" t="b">
        <v>0</v>
      </c>
      <c r="L130" s="70" t="b">
        <v>0</v>
      </c>
      <c r="M130" s="70" t="b">
        <v>0</v>
      </c>
      <c r="N130" s="1"/>
    </row>
    <row r="131" spans="1:14" ht="22.5" customHeight="1">
      <c r="A131" s="1"/>
      <c r="B131" s="1" t="e">
        <f t="array" aca="1" ref="B131" ca="1">_xludf.XLOOKUP(A131, 도서_정보[ID], 도서_정보[도서명], "")</f>
        <v>#NAME?</v>
      </c>
      <c r="C131" s="1" t="e">
        <f t="array" aca="1" ref="C131" ca="1">_xludf.XLOOKUP(A131, 도서_정보[ID], 도서_정보[작업 페이지], "")</f>
        <v>#NAME?</v>
      </c>
      <c r="D131" s="70" t="b">
        <v>0</v>
      </c>
      <c r="E131" s="70" t="b">
        <v>0</v>
      </c>
      <c r="F131" s="79" t="b">
        <v>0</v>
      </c>
      <c r="G131" s="70" t="b">
        <v>0</v>
      </c>
      <c r="H131" s="70" t="b">
        <v>0</v>
      </c>
      <c r="I131" s="70" t="b">
        <v>0</v>
      </c>
      <c r="J131" s="70" t="b">
        <v>0</v>
      </c>
      <c r="K131" s="79" t="b">
        <v>0</v>
      </c>
      <c r="L131" s="70" t="b">
        <v>0</v>
      </c>
      <c r="M131" s="70" t="b">
        <v>0</v>
      </c>
      <c r="N131" s="1"/>
    </row>
    <row r="132" spans="1:14" ht="22.5" customHeight="1">
      <c r="A132" s="1"/>
      <c r="B132" s="1" t="e">
        <f t="array" aca="1" ref="B132" ca="1">_xludf.XLOOKUP(A132, 도서_정보[ID], 도서_정보[도서명], "")</f>
        <v>#NAME?</v>
      </c>
      <c r="C132" s="1" t="e">
        <f t="array" aca="1" ref="C132" ca="1">_xludf.XLOOKUP(A132, 도서_정보[ID], 도서_정보[작업 페이지], "")</f>
        <v>#NAME?</v>
      </c>
      <c r="D132" s="70" t="b">
        <v>0</v>
      </c>
      <c r="E132" s="70" t="b">
        <v>0</v>
      </c>
      <c r="F132" s="79" t="b">
        <v>0</v>
      </c>
      <c r="G132" s="70" t="b">
        <v>0</v>
      </c>
      <c r="H132" s="70" t="b">
        <v>0</v>
      </c>
      <c r="I132" s="70" t="b">
        <v>0</v>
      </c>
      <c r="J132" s="70" t="b">
        <v>0</v>
      </c>
      <c r="K132" s="79" t="b">
        <v>0</v>
      </c>
      <c r="L132" s="70" t="b">
        <v>0</v>
      </c>
      <c r="M132" s="70" t="b">
        <v>0</v>
      </c>
      <c r="N132" s="1"/>
    </row>
    <row r="133" spans="1:14" ht="22.5" customHeight="1">
      <c r="A133" s="1"/>
      <c r="B133" s="1" t="e">
        <f t="array" aca="1" ref="B133" ca="1">_xludf.XLOOKUP(A133, 도서_정보[ID], 도서_정보[도서명], "")</f>
        <v>#NAME?</v>
      </c>
      <c r="C133" s="1" t="e">
        <f t="array" aca="1" ref="C133" ca="1">_xludf.XLOOKUP(A133, 도서_정보[ID], 도서_정보[작업 페이지], "")</f>
        <v>#NAME?</v>
      </c>
      <c r="D133" s="70" t="b">
        <v>0</v>
      </c>
      <c r="E133" s="70" t="b">
        <v>0</v>
      </c>
      <c r="F133" s="79" t="b">
        <v>0</v>
      </c>
      <c r="G133" s="70" t="b">
        <v>0</v>
      </c>
      <c r="H133" s="70" t="b">
        <v>0</v>
      </c>
      <c r="I133" s="70" t="b">
        <v>0</v>
      </c>
      <c r="J133" s="70" t="b">
        <v>0</v>
      </c>
      <c r="K133" s="79" t="b">
        <v>0</v>
      </c>
      <c r="L133" s="70" t="b">
        <v>0</v>
      </c>
      <c r="M133" s="70" t="b">
        <v>0</v>
      </c>
      <c r="N133" s="1"/>
    </row>
    <row r="134" spans="1:14" ht="22.5" customHeight="1">
      <c r="A134" s="1"/>
      <c r="B134" s="1" t="e">
        <f t="array" aca="1" ref="B134" ca="1">_xludf.XLOOKUP(A134, 도서_정보[ID], 도서_정보[도서명], "")</f>
        <v>#NAME?</v>
      </c>
      <c r="C134" s="1" t="e">
        <f t="array" aca="1" ref="C134" ca="1">_xludf.XLOOKUP(A134, 도서_정보[ID], 도서_정보[작업 페이지], "")</f>
        <v>#NAME?</v>
      </c>
      <c r="D134" s="70" t="b">
        <v>0</v>
      </c>
      <c r="E134" s="70" t="b">
        <v>0</v>
      </c>
      <c r="F134" s="79" t="b">
        <v>0</v>
      </c>
      <c r="G134" s="70" t="b">
        <v>0</v>
      </c>
      <c r="H134" s="70" t="b">
        <v>0</v>
      </c>
      <c r="I134" s="70" t="b">
        <v>0</v>
      </c>
      <c r="J134" s="70" t="b">
        <v>0</v>
      </c>
      <c r="K134" s="79" t="b">
        <v>0</v>
      </c>
      <c r="L134" s="70" t="b">
        <v>0</v>
      </c>
      <c r="M134" s="70" t="b">
        <v>0</v>
      </c>
      <c r="N134" s="1"/>
    </row>
    <row r="135" spans="1:14" ht="22.5" customHeight="1">
      <c r="A135" s="1"/>
      <c r="B135" s="1" t="e">
        <f t="array" aca="1" ref="B135" ca="1">_xludf.XLOOKUP(A135, 도서_정보[ID], 도서_정보[도서명], "")</f>
        <v>#NAME?</v>
      </c>
      <c r="C135" s="1" t="e">
        <f t="array" aca="1" ref="C135" ca="1">_xludf.XLOOKUP(A135, 도서_정보[ID], 도서_정보[작업 페이지], "")</f>
        <v>#NAME?</v>
      </c>
      <c r="D135" s="70" t="b">
        <v>0</v>
      </c>
      <c r="E135" s="70" t="b">
        <v>0</v>
      </c>
      <c r="F135" s="79" t="b">
        <v>0</v>
      </c>
      <c r="G135" s="70" t="b">
        <v>0</v>
      </c>
      <c r="H135" s="70" t="b">
        <v>0</v>
      </c>
      <c r="I135" s="70" t="b">
        <v>0</v>
      </c>
      <c r="J135" s="70" t="b">
        <v>0</v>
      </c>
      <c r="K135" s="79" t="b">
        <v>0</v>
      </c>
      <c r="L135" s="70" t="b">
        <v>0</v>
      </c>
      <c r="M135" s="70" t="b">
        <v>0</v>
      </c>
      <c r="N135" s="1"/>
    </row>
    <row r="136" spans="1:14" ht="22.5" customHeight="1">
      <c r="A136" s="1"/>
      <c r="B136" s="1" t="e">
        <f t="array" aca="1" ref="B136" ca="1">_xludf.XLOOKUP(A136, 도서_정보[ID], 도서_정보[도서명], "")</f>
        <v>#NAME?</v>
      </c>
      <c r="C136" s="1" t="e">
        <f t="array" aca="1" ref="C136" ca="1">_xludf.XLOOKUP(A136, 도서_정보[ID], 도서_정보[작업 페이지], "")</f>
        <v>#NAME?</v>
      </c>
      <c r="D136" s="70" t="b">
        <v>0</v>
      </c>
      <c r="E136" s="70" t="b">
        <v>0</v>
      </c>
      <c r="F136" s="79" t="b">
        <v>0</v>
      </c>
      <c r="G136" s="70" t="b">
        <v>0</v>
      </c>
      <c r="H136" s="70" t="b">
        <v>0</v>
      </c>
      <c r="I136" s="70" t="b">
        <v>0</v>
      </c>
      <c r="J136" s="70" t="b">
        <v>0</v>
      </c>
      <c r="K136" s="79" t="b">
        <v>0</v>
      </c>
      <c r="L136" s="70" t="b">
        <v>0</v>
      </c>
      <c r="M136" s="70" t="b">
        <v>0</v>
      </c>
      <c r="N136" s="1"/>
    </row>
    <row r="137" spans="1:14" ht="22.5" customHeight="1">
      <c r="A137" s="1"/>
      <c r="B137" s="1" t="e">
        <f t="array" aca="1" ref="B137" ca="1">_xludf.XLOOKUP(A137, 도서_정보[ID], 도서_정보[도서명], "")</f>
        <v>#NAME?</v>
      </c>
      <c r="C137" s="1" t="e">
        <f t="array" aca="1" ref="C137" ca="1">_xludf.XLOOKUP(A137, 도서_정보[ID], 도서_정보[작업 페이지], "")</f>
        <v>#NAME?</v>
      </c>
      <c r="D137" s="70" t="b">
        <v>0</v>
      </c>
      <c r="E137" s="70" t="b">
        <v>0</v>
      </c>
      <c r="F137" s="79" t="b">
        <v>0</v>
      </c>
      <c r="G137" s="70" t="b">
        <v>0</v>
      </c>
      <c r="H137" s="70" t="b">
        <v>0</v>
      </c>
      <c r="I137" s="70" t="b">
        <v>0</v>
      </c>
      <c r="J137" s="70" t="b">
        <v>0</v>
      </c>
      <c r="K137" s="79" t="b">
        <v>0</v>
      </c>
      <c r="L137" s="70" t="b">
        <v>0</v>
      </c>
      <c r="M137" s="70" t="b">
        <v>0</v>
      </c>
      <c r="N137" s="1"/>
    </row>
    <row r="138" spans="1:14" ht="22.5" customHeight="1">
      <c r="A138" s="1"/>
      <c r="B138" s="1" t="e">
        <f t="array" aca="1" ref="B138" ca="1">_xludf.XLOOKUP(A138, 도서_정보[ID], 도서_정보[도서명], "")</f>
        <v>#NAME?</v>
      </c>
      <c r="C138" s="1" t="e">
        <f t="array" aca="1" ref="C138" ca="1">_xludf.XLOOKUP(A138, 도서_정보[ID], 도서_정보[작업 페이지], "")</f>
        <v>#NAME?</v>
      </c>
      <c r="D138" s="70" t="b">
        <v>0</v>
      </c>
      <c r="E138" s="70" t="b">
        <v>0</v>
      </c>
      <c r="F138" s="79" t="b">
        <v>0</v>
      </c>
      <c r="G138" s="70" t="b">
        <v>0</v>
      </c>
      <c r="H138" s="70" t="b">
        <v>0</v>
      </c>
      <c r="I138" s="70" t="b">
        <v>0</v>
      </c>
      <c r="J138" s="70" t="b">
        <v>0</v>
      </c>
      <c r="K138" s="79" t="b">
        <v>0</v>
      </c>
      <c r="L138" s="70" t="b">
        <v>0</v>
      </c>
      <c r="M138" s="70" t="b">
        <v>0</v>
      </c>
      <c r="N138" s="1"/>
    </row>
    <row r="139" spans="1:14" ht="22.5" customHeight="1">
      <c r="A139" s="1"/>
      <c r="B139" s="1" t="e">
        <f t="array" aca="1" ref="B139" ca="1">_xludf.XLOOKUP(A139, 도서_정보[ID], 도서_정보[도서명], "")</f>
        <v>#NAME?</v>
      </c>
      <c r="C139" s="1" t="e">
        <f t="array" aca="1" ref="C139" ca="1">_xludf.XLOOKUP(A139, 도서_정보[ID], 도서_정보[작업 페이지], "")</f>
        <v>#NAME?</v>
      </c>
      <c r="D139" s="70" t="b">
        <v>0</v>
      </c>
      <c r="E139" s="70" t="b">
        <v>0</v>
      </c>
      <c r="F139" s="79" t="b">
        <v>0</v>
      </c>
      <c r="G139" s="70" t="b">
        <v>0</v>
      </c>
      <c r="H139" s="70" t="b">
        <v>0</v>
      </c>
      <c r="I139" s="70" t="b">
        <v>0</v>
      </c>
      <c r="J139" s="70" t="b">
        <v>0</v>
      </c>
      <c r="K139" s="79" t="b">
        <v>0</v>
      </c>
      <c r="L139" s="70" t="b">
        <v>0</v>
      </c>
      <c r="M139" s="70" t="b">
        <v>0</v>
      </c>
      <c r="N139" s="1"/>
    </row>
    <row r="140" spans="1:14" ht="22.5" customHeight="1">
      <c r="A140" s="1"/>
      <c r="B140" s="1" t="e">
        <f t="array" aca="1" ref="B140" ca="1">_xludf.XLOOKUP(A140, 도서_정보[ID], 도서_정보[도서명], "")</f>
        <v>#NAME?</v>
      </c>
      <c r="C140" s="1" t="e">
        <f t="array" aca="1" ref="C140" ca="1">_xludf.XLOOKUP(A140, 도서_정보[ID], 도서_정보[작업 페이지], "")</f>
        <v>#NAME?</v>
      </c>
      <c r="D140" s="70" t="b">
        <v>0</v>
      </c>
      <c r="E140" s="70" t="b">
        <v>0</v>
      </c>
      <c r="F140" s="79" t="b">
        <v>0</v>
      </c>
      <c r="G140" s="70" t="b">
        <v>0</v>
      </c>
      <c r="H140" s="70" t="b">
        <v>0</v>
      </c>
      <c r="I140" s="70" t="b">
        <v>0</v>
      </c>
      <c r="J140" s="70" t="b">
        <v>0</v>
      </c>
      <c r="K140" s="79" t="b">
        <v>0</v>
      </c>
      <c r="L140" s="70" t="b">
        <v>0</v>
      </c>
      <c r="M140" s="70" t="b">
        <v>0</v>
      </c>
      <c r="N140" s="1"/>
    </row>
    <row r="141" spans="1:14" ht="22.5" customHeight="1">
      <c r="A141" s="1"/>
      <c r="B141" s="1" t="e">
        <f t="array" aca="1" ref="B141" ca="1">_xludf.XLOOKUP(A141, 도서_정보[ID], 도서_정보[도서명], "")</f>
        <v>#NAME?</v>
      </c>
      <c r="C141" s="1" t="e">
        <f t="array" aca="1" ref="C141" ca="1">_xludf.XLOOKUP(A141, 도서_정보[ID], 도서_정보[작업 페이지], "")</f>
        <v>#NAME?</v>
      </c>
      <c r="D141" s="70" t="b">
        <v>0</v>
      </c>
      <c r="E141" s="70" t="b">
        <v>0</v>
      </c>
      <c r="F141" s="79" t="b">
        <v>0</v>
      </c>
      <c r="G141" s="70" t="b">
        <v>0</v>
      </c>
      <c r="H141" s="70" t="b">
        <v>0</v>
      </c>
      <c r="I141" s="70" t="b">
        <v>0</v>
      </c>
      <c r="J141" s="70" t="b">
        <v>0</v>
      </c>
      <c r="K141" s="79" t="b">
        <v>0</v>
      </c>
      <c r="L141" s="70" t="b">
        <v>0</v>
      </c>
      <c r="M141" s="70" t="b">
        <v>0</v>
      </c>
      <c r="N141" s="1"/>
    </row>
    <row r="142" spans="1:14" ht="22.5" customHeight="1">
      <c r="A142" s="1"/>
      <c r="B142" s="1" t="e">
        <f t="array" aca="1" ref="B142" ca="1">_xludf.XLOOKUP(A142, 도서_정보[ID], 도서_정보[도서명], "")</f>
        <v>#NAME?</v>
      </c>
      <c r="C142" s="1" t="e">
        <f t="array" aca="1" ref="C142" ca="1">_xludf.XLOOKUP(A142, 도서_정보[ID], 도서_정보[작업 페이지], "")</f>
        <v>#NAME?</v>
      </c>
      <c r="D142" s="70" t="b">
        <v>0</v>
      </c>
      <c r="E142" s="70" t="b">
        <v>0</v>
      </c>
      <c r="F142" s="79" t="b">
        <v>0</v>
      </c>
      <c r="G142" s="70" t="b">
        <v>0</v>
      </c>
      <c r="H142" s="70" t="b">
        <v>0</v>
      </c>
      <c r="I142" s="70" t="b">
        <v>0</v>
      </c>
      <c r="J142" s="70" t="b">
        <v>0</v>
      </c>
      <c r="K142" s="79" t="b">
        <v>0</v>
      </c>
      <c r="L142" s="70" t="b">
        <v>0</v>
      </c>
      <c r="M142" s="70" t="b">
        <v>0</v>
      </c>
      <c r="N142" s="1"/>
    </row>
    <row r="143" spans="1:14" ht="22.5" customHeight="1">
      <c r="A143" s="1"/>
      <c r="B143" s="1" t="e">
        <f t="array" aca="1" ref="B143" ca="1">_xludf.XLOOKUP(A143, 도서_정보[ID], 도서_정보[도서명], "")</f>
        <v>#NAME?</v>
      </c>
      <c r="C143" s="1" t="e">
        <f t="array" aca="1" ref="C143" ca="1">_xludf.XLOOKUP(A143, 도서_정보[ID], 도서_정보[작업 페이지], "")</f>
        <v>#NAME?</v>
      </c>
      <c r="D143" s="70" t="b">
        <v>0</v>
      </c>
      <c r="E143" s="70" t="b">
        <v>0</v>
      </c>
      <c r="F143" s="79" t="b">
        <v>0</v>
      </c>
      <c r="G143" s="70" t="b">
        <v>0</v>
      </c>
      <c r="H143" s="70" t="b">
        <v>0</v>
      </c>
      <c r="I143" s="70" t="b">
        <v>0</v>
      </c>
      <c r="J143" s="70" t="b">
        <v>0</v>
      </c>
      <c r="K143" s="79" t="b">
        <v>0</v>
      </c>
      <c r="L143" s="70" t="b">
        <v>0</v>
      </c>
      <c r="M143" s="70" t="b">
        <v>0</v>
      </c>
      <c r="N143" s="1"/>
    </row>
    <row r="144" spans="1:14" ht="22.5" customHeight="1">
      <c r="A144" s="1"/>
      <c r="B144" s="1" t="e">
        <f t="array" aca="1" ref="B144" ca="1">_xludf.XLOOKUP(A144, 도서_정보[ID], 도서_정보[도서명], "")</f>
        <v>#NAME?</v>
      </c>
      <c r="C144" s="1" t="e">
        <f t="array" aca="1" ref="C144" ca="1">_xludf.XLOOKUP(A144, 도서_정보[ID], 도서_정보[작업 페이지], "")</f>
        <v>#NAME?</v>
      </c>
      <c r="D144" s="70" t="b">
        <v>0</v>
      </c>
      <c r="E144" s="70" t="b">
        <v>0</v>
      </c>
      <c r="F144" s="79" t="b">
        <v>0</v>
      </c>
      <c r="G144" s="70" t="b">
        <v>0</v>
      </c>
      <c r="H144" s="70" t="b">
        <v>0</v>
      </c>
      <c r="I144" s="70" t="b">
        <v>0</v>
      </c>
      <c r="J144" s="70" t="b">
        <v>0</v>
      </c>
      <c r="K144" s="79" t="b">
        <v>0</v>
      </c>
      <c r="L144" s="70" t="b">
        <v>0</v>
      </c>
      <c r="M144" s="70" t="b">
        <v>0</v>
      </c>
      <c r="N144" s="1"/>
    </row>
    <row r="145" spans="1:14" ht="22.5" customHeight="1">
      <c r="A145" s="1"/>
      <c r="B145" s="1" t="e">
        <f t="array" aca="1" ref="B145" ca="1">_xludf.XLOOKUP(A145, 도서_정보[ID], 도서_정보[도서명], "")</f>
        <v>#NAME?</v>
      </c>
      <c r="C145" s="1" t="e">
        <f t="array" aca="1" ref="C145" ca="1">_xludf.XLOOKUP(A145, 도서_정보[ID], 도서_정보[작업 페이지], "")</f>
        <v>#NAME?</v>
      </c>
      <c r="D145" s="70" t="b">
        <v>0</v>
      </c>
      <c r="E145" s="70" t="b">
        <v>0</v>
      </c>
      <c r="F145" s="79" t="b">
        <v>0</v>
      </c>
      <c r="G145" s="70" t="b">
        <v>0</v>
      </c>
      <c r="H145" s="70" t="b">
        <v>0</v>
      </c>
      <c r="I145" s="70" t="b">
        <v>0</v>
      </c>
      <c r="J145" s="70" t="b">
        <v>0</v>
      </c>
      <c r="K145" s="79" t="b">
        <v>0</v>
      </c>
      <c r="L145" s="70" t="b">
        <v>0</v>
      </c>
      <c r="M145" s="70" t="b">
        <v>0</v>
      </c>
      <c r="N145" s="1"/>
    </row>
    <row r="146" spans="1:14" ht="22.5" customHeight="1">
      <c r="A146" s="1"/>
      <c r="B146" s="1" t="e">
        <f t="array" aca="1" ref="B146" ca="1">_xludf.XLOOKUP(A146, 도서_정보[ID], 도서_정보[도서명], "")</f>
        <v>#NAME?</v>
      </c>
      <c r="C146" s="1" t="e">
        <f t="array" aca="1" ref="C146" ca="1">_xludf.XLOOKUP(A146, 도서_정보[ID], 도서_정보[작업 페이지], "")</f>
        <v>#NAME?</v>
      </c>
      <c r="D146" s="70" t="b">
        <v>0</v>
      </c>
      <c r="E146" s="70" t="b">
        <v>0</v>
      </c>
      <c r="F146" s="79" t="b">
        <v>0</v>
      </c>
      <c r="G146" s="70" t="b">
        <v>0</v>
      </c>
      <c r="H146" s="70" t="b">
        <v>0</v>
      </c>
      <c r="I146" s="70" t="b">
        <v>0</v>
      </c>
      <c r="J146" s="70" t="b">
        <v>0</v>
      </c>
      <c r="K146" s="79" t="b">
        <v>0</v>
      </c>
      <c r="L146" s="70" t="b">
        <v>0</v>
      </c>
      <c r="M146" s="70" t="b">
        <v>0</v>
      </c>
      <c r="N146" s="1"/>
    </row>
    <row r="147" spans="1:14" ht="22.5" customHeight="1">
      <c r="A147" s="1"/>
      <c r="B147" s="1" t="e">
        <f t="array" aca="1" ref="B147" ca="1">_xludf.XLOOKUP(A147, 도서_정보[ID], 도서_정보[도서명], "")</f>
        <v>#NAME?</v>
      </c>
      <c r="C147" s="1" t="e">
        <f t="array" aca="1" ref="C147" ca="1">_xludf.XLOOKUP(A147, 도서_정보[ID], 도서_정보[작업 페이지], "")</f>
        <v>#NAME?</v>
      </c>
      <c r="D147" s="70" t="b">
        <v>0</v>
      </c>
      <c r="E147" s="70" t="b">
        <v>0</v>
      </c>
      <c r="F147" s="79" t="b">
        <v>0</v>
      </c>
      <c r="G147" s="70" t="b">
        <v>0</v>
      </c>
      <c r="H147" s="70" t="b">
        <v>0</v>
      </c>
      <c r="I147" s="70" t="b">
        <v>0</v>
      </c>
      <c r="J147" s="70" t="b">
        <v>0</v>
      </c>
      <c r="K147" s="79" t="b">
        <v>0</v>
      </c>
      <c r="L147" s="70" t="b">
        <v>0</v>
      </c>
      <c r="M147" s="70" t="b">
        <v>0</v>
      </c>
      <c r="N147" s="1"/>
    </row>
    <row r="148" spans="1:14" ht="22.5" customHeight="1">
      <c r="A148" s="1"/>
      <c r="B148" s="1" t="e">
        <f t="array" aca="1" ref="B148" ca="1">_xludf.XLOOKUP(A148, 도서_정보[ID], 도서_정보[도서명], "")</f>
        <v>#NAME?</v>
      </c>
      <c r="C148" s="1" t="e">
        <f t="array" aca="1" ref="C148" ca="1">_xludf.XLOOKUP(A148, 도서_정보[ID], 도서_정보[작업 페이지], "")</f>
        <v>#NAME?</v>
      </c>
      <c r="D148" s="70" t="b">
        <v>0</v>
      </c>
      <c r="E148" s="70" t="b">
        <v>0</v>
      </c>
      <c r="F148" s="79" t="b">
        <v>0</v>
      </c>
      <c r="G148" s="70" t="b">
        <v>0</v>
      </c>
      <c r="H148" s="70" t="b">
        <v>0</v>
      </c>
      <c r="I148" s="70" t="b">
        <v>0</v>
      </c>
      <c r="J148" s="70" t="b">
        <v>0</v>
      </c>
      <c r="K148" s="79" t="b">
        <v>0</v>
      </c>
      <c r="L148" s="70" t="b">
        <v>0</v>
      </c>
      <c r="M148" s="70" t="b">
        <v>0</v>
      </c>
      <c r="N148" s="1"/>
    </row>
    <row r="149" spans="1:14" ht="22.5" customHeight="1">
      <c r="A149" s="1"/>
      <c r="B149" s="1" t="e">
        <f t="array" aca="1" ref="B149" ca="1">_xludf.XLOOKUP(A149, 도서_정보[ID], 도서_정보[도서명], "")</f>
        <v>#NAME?</v>
      </c>
      <c r="C149" s="1" t="e">
        <f t="array" aca="1" ref="C149" ca="1">_xludf.XLOOKUP(A149, 도서_정보[ID], 도서_정보[작업 페이지], "")</f>
        <v>#NAME?</v>
      </c>
      <c r="D149" s="70" t="b">
        <v>0</v>
      </c>
      <c r="E149" s="70" t="b">
        <v>0</v>
      </c>
      <c r="F149" s="79" t="b">
        <v>0</v>
      </c>
      <c r="G149" s="70" t="b">
        <v>0</v>
      </c>
      <c r="H149" s="70" t="b">
        <v>0</v>
      </c>
      <c r="I149" s="70" t="b">
        <v>0</v>
      </c>
      <c r="J149" s="70" t="b">
        <v>0</v>
      </c>
      <c r="K149" s="79" t="b">
        <v>0</v>
      </c>
      <c r="L149" s="70" t="b">
        <v>0</v>
      </c>
      <c r="M149" s="70" t="b">
        <v>0</v>
      </c>
      <c r="N149" s="1"/>
    </row>
    <row r="150" spans="1:14" ht="22.5" customHeight="1">
      <c r="A150" s="1"/>
      <c r="B150" s="1" t="e">
        <f t="array" aca="1" ref="B150" ca="1">_xludf.XLOOKUP(A150, 도서_정보[ID], 도서_정보[도서명], "")</f>
        <v>#NAME?</v>
      </c>
      <c r="C150" s="1" t="e">
        <f t="array" aca="1" ref="C150" ca="1">_xludf.XLOOKUP(A150, 도서_정보[ID], 도서_정보[작업 페이지], "")</f>
        <v>#NAME?</v>
      </c>
      <c r="D150" s="70" t="b">
        <v>0</v>
      </c>
      <c r="E150" s="70" t="b">
        <v>0</v>
      </c>
      <c r="F150" s="79" t="b">
        <v>0</v>
      </c>
      <c r="G150" s="70" t="b">
        <v>0</v>
      </c>
      <c r="H150" s="70" t="b">
        <v>0</v>
      </c>
      <c r="I150" s="70" t="b">
        <v>0</v>
      </c>
      <c r="J150" s="70" t="b">
        <v>0</v>
      </c>
      <c r="K150" s="79" t="b">
        <v>0</v>
      </c>
      <c r="L150" s="70" t="b">
        <v>0</v>
      </c>
      <c r="M150" s="70" t="b">
        <v>0</v>
      </c>
      <c r="N150" s="1"/>
    </row>
    <row r="151" spans="1:14" ht="22.5" customHeight="1">
      <c r="A151" s="1"/>
      <c r="B151" s="1" t="e">
        <f t="array" aca="1" ref="B151" ca="1">_xludf.XLOOKUP(A151, 도서_정보[ID], 도서_정보[도서명], "")</f>
        <v>#NAME?</v>
      </c>
      <c r="C151" s="1" t="e">
        <f t="array" aca="1" ref="C151" ca="1">_xludf.XLOOKUP(A151, 도서_정보[ID], 도서_정보[작업 페이지], "")</f>
        <v>#NAME?</v>
      </c>
      <c r="D151" s="70" t="b">
        <v>0</v>
      </c>
      <c r="E151" s="70" t="b">
        <v>0</v>
      </c>
      <c r="F151" s="79" t="b">
        <v>0</v>
      </c>
      <c r="G151" s="70" t="b">
        <v>0</v>
      </c>
      <c r="H151" s="70" t="b">
        <v>0</v>
      </c>
      <c r="I151" s="70" t="b">
        <v>0</v>
      </c>
      <c r="J151" s="70" t="b">
        <v>0</v>
      </c>
      <c r="K151" s="79" t="b">
        <v>0</v>
      </c>
      <c r="L151" s="70" t="b">
        <v>0</v>
      </c>
      <c r="M151" s="70" t="b">
        <v>0</v>
      </c>
      <c r="N151" s="1"/>
    </row>
    <row r="152" spans="1:14" ht="22.5" customHeight="1">
      <c r="A152" s="1"/>
      <c r="B152" s="1" t="e">
        <f t="array" aca="1" ref="B152" ca="1">_xludf.XLOOKUP(A152, 도서_정보[ID], 도서_정보[도서명], "")</f>
        <v>#NAME?</v>
      </c>
      <c r="C152" s="1" t="e">
        <f t="array" aca="1" ref="C152" ca="1">_xludf.XLOOKUP(A152, 도서_정보[ID], 도서_정보[작업 페이지], "")</f>
        <v>#NAME?</v>
      </c>
      <c r="D152" s="70" t="b">
        <v>0</v>
      </c>
      <c r="E152" s="70" t="b">
        <v>0</v>
      </c>
      <c r="F152" s="79" t="b">
        <v>0</v>
      </c>
      <c r="G152" s="70" t="b">
        <v>0</v>
      </c>
      <c r="H152" s="70" t="b">
        <v>0</v>
      </c>
      <c r="I152" s="70" t="b">
        <v>0</v>
      </c>
      <c r="J152" s="70" t="b">
        <v>0</v>
      </c>
      <c r="K152" s="79" t="b">
        <v>0</v>
      </c>
      <c r="L152" s="70" t="b">
        <v>0</v>
      </c>
      <c r="M152" s="70" t="b">
        <v>0</v>
      </c>
      <c r="N152" s="1"/>
    </row>
    <row r="153" spans="1:14" ht="22.5" customHeight="1">
      <c r="A153" s="1"/>
      <c r="B153" s="1" t="e">
        <f t="array" aca="1" ref="B153" ca="1">_xludf.XLOOKUP(A153, 도서_정보[ID], 도서_정보[도서명], "")</f>
        <v>#NAME?</v>
      </c>
      <c r="C153" s="1" t="e">
        <f t="array" aca="1" ref="C153" ca="1">_xludf.XLOOKUP(A153, 도서_정보[ID], 도서_정보[작업 페이지], "")</f>
        <v>#NAME?</v>
      </c>
      <c r="D153" s="70" t="b">
        <v>0</v>
      </c>
      <c r="E153" s="70" t="b">
        <v>0</v>
      </c>
      <c r="F153" s="79" t="b">
        <v>0</v>
      </c>
      <c r="G153" s="70" t="b">
        <v>0</v>
      </c>
      <c r="H153" s="70" t="b">
        <v>0</v>
      </c>
      <c r="I153" s="70" t="b">
        <v>0</v>
      </c>
      <c r="J153" s="70" t="b">
        <v>0</v>
      </c>
      <c r="K153" s="79" t="b">
        <v>0</v>
      </c>
      <c r="L153" s="70" t="b">
        <v>0</v>
      </c>
      <c r="M153" s="70" t="b">
        <v>0</v>
      </c>
      <c r="N153" s="1"/>
    </row>
    <row r="154" spans="1:14" ht="22.5" customHeight="1">
      <c r="A154" s="1"/>
      <c r="B154" s="1" t="e">
        <f t="array" aca="1" ref="B154" ca="1">_xludf.XLOOKUP(A154, 도서_정보[ID], 도서_정보[도서명], "")</f>
        <v>#NAME?</v>
      </c>
      <c r="C154" s="1" t="e">
        <f t="array" aca="1" ref="C154" ca="1">_xludf.XLOOKUP(A154, 도서_정보[ID], 도서_정보[작업 페이지], "")</f>
        <v>#NAME?</v>
      </c>
      <c r="D154" s="70" t="b">
        <v>0</v>
      </c>
      <c r="E154" s="70" t="b">
        <v>0</v>
      </c>
      <c r="F154" s="79" t="b">
        <v>0</v>
      </c>
      <c r="G154" s="70" t="b">
        <v>0</v>
      </c>
      <c r="H154" s="70" t="b">
        <v>0</v>
      </c>
      <c r="I154" s="70" t="b">
        <v>0</v>
      </c>
      <c r="J154" s="70" t="b">
        <v>0</v>
      </c>
      <c r="K154" s="79" t="b">
        <v>0</v>
      </c>
      <c r="L154" s="70" t="b">
        <v>0</v>
      </c>
      <c r="M154" s="70" t="b">
        <v>0</v>
      </c>
      <c r="N154" s="1"/>
    </row>
    <row r="155" spans="1:14" ht="22.5" customHeight="1">
      <c r="A155" s="1"/>
      <c r="B155" s="1" t="e">
        <f t="array" aca="1" ref="B155" ca="1">_xludf.XLOOKUP(A155, 도서_정보[ID], 도서_정보[도서명], "")</f>
        <v>#NAME?</v>
      </c>
      <c r="C155" s="1" t="e">
        <f t="array" aca="1" ref="C155" ca="1">_xludf.XLOOKUP(A155, 도서_정보[ID], 도서_정보[작업 페이지], "")</f>
        <v>#NAME?</v>
      </c>
      <c r="D155" s="70" t="b">
        <v>0</v>
      </c>
      <c r="E155" s="70" t="b">
        <v>0</v>
      </c>
      <c r="F155" s="79" t="b">
        <v>0</v>
      </c>
      <c r="G155" s="70" t="b">
        <v>0</v>
      </c>
      <c r="H155" s="70" t="b">
        <v>0</v>
      </c>
      <c r="I155" s="70" t="b">
        <v>0</v>
      </c>
      <c r="J155" s="70" t="b">
        <v>0</v>
      </c>
      <c r="K155" s="79" t="b">
        <v>0</v>
      </c>
      <c r="L155" s="70" t="b">
        <v>0</v>
      </c>
      <c r="M155" s="70" t="b">
        <v>0</v>
      </c>
      <c r="N155" s="1"/>
    </row>
    <row r="156" spans="1:14" ht="22.5" customHeight="1">
      <c r="A156" s="1"/>
      <c r="B156" s="1" t="e">
        <f t="array" aca="1" ref="B156" ca="1">_xludf.XLOOKUP(A156, 도서_정보[ID], 도서_정보[도서명], "")</f>
        <v>#NAME?</v>
      </c>
      <c r="C156" s="1" t="e">
        <f t="array" aca="1" ref="C156" ca="1">_xludf.XLOOKUP(A156, 도서_정보[ID], 도서_정보[작업 페이지], "")</f>
        <v>#NAME?</v>
      </c>
      <c r="D156" s="70" t="b">
        <v>0</v>
      </c>
      <c r="E156" s="70" t="b">
        <v>0</v>
      </c>
      <c r="F156" s="79" t="b">
        <v>0</v>
      </c>
      <c r="G156" s="70" t="b">
        <v>0</v>
      </c>
      <c r="H156" s="70" t="b">
        <v>0</v>
      </c>
      <c r="I156" s="70" t="b">
        <v>0</v>
      </c>
      <c r="J156" s="70" t="b">
        <v>0</v>
      </c>
      <c r="K156" s="79" t="b">
        <v>0</v>
      </c>
      <c r="L156" s="70" t="b">
        <v>0</v>
      </c>
      <c r="M156" s="70" t="b">
        <v>0</v>
      </c>
      <c r="N156" s="1"/>
    </row>
    <row r="157" spans="1:14" ht="22.5" customHeight="1">
      <c r="A157" s="1"/>
      <c r="B157" s="1" t="e">
        <f t="array" aca="1" ref="B157" ca="1">_xludf.XLOOKUP(A157, 도서_정보[ID], 도서_정보[도서명], "")</f>
        <v>#NAME?</v>
      </c>
      <c r="C157" s="1" t="e">
        <f t="array" aca="1" ref="C157" ca="1">_xludf.XLOOKUP(A157, 도서_정보[ID], 도서_정보[작업 페이지], "")</f>
        <v>#NAME?</v>
      </c>
      <c r="D157" s="70" t="b">
        <v>0</v>
      </c>
      <c r="E157" s="70" t="b">
        <v>0</v>
      </c>
      <c r="F157" s="79" t="b">
        <v>0</v>
      </c>
      <c r="G157" s="70" t="b">
        <v>0</v>
      </c>
      <c r="H157" s="70" t="b">
        <v>0</v>
      </c>
      <c r="I157" s="70" t="b">
        <v>0</v>
      </c>
      <c r="J157" s="70" t="b">
        <v>0</v>
      </c>
      <c r="K157" s="79" t="b">
        <v>0</v>
      </c>
      <c r="L157" s="70" t="b">
        <v>0</v>
      </c>
      <c r="M157" s="70" t="b">
        <v>0</v>
      </c>
      <c r="N157" s="1"/>
    </row>
    <row r="158" spans="1:14" ht="22.5" customHeight="1">
      <c r="A158" s="1"/>
      <c r="B158" s="1" t="e">
        <f t="array" aca="1" ref="B158" ca="1">_xludf.XLOOKUP(A158, 도서_정보[ID], 도서_정보[도서명], "")</f>
        <v>#NAME?</v>
      </c>
      <c r="C158" s="1" t="e">
        <f t="array" aca="1" ref="C158" ca="1">_xludf.XLOOKUP(A158, 도서_정보[ID], 도서_정보[작업 페이지], "")</f>
        <v>#NAME?</v>
      </c>
      <c r="D158" s="70" t="b">
        <v>0</v>
      </c>
      <c r="E158" s="70" t="b">
        <v>0</v>
      </c>
      <c r="F158" s="79" t="b">
        <v>0</v>
      </c>
      <c r="G158" s="70" t="b">
        <v>0</v>
      </c>
      <c r="H158" s="70" t="b">
        <v>0</v>
      </c>
      <c r="I158" s="70" t="b">
        <v>0</v>
      </c>
      <c r="J158" s="70" t="b">
        <v>0</v>
      </c>
      <c r="K158" s="79" t="b">
        <v>0</v>
      </c>
      <c r="L158" s="70" t="b">
        <v>0</v>
      </c>
      <c r="M158" s="70" t="b">
        <v>0</v>
      </c>
      <c r="N158" s="1"/>
    </row>
    <row r="159" spans="1:14" ht="22.5" customHeight="1">
      <c r="A159" s="1"/>
      <c r="B159" s="1" t="e">
        <f t="array" aca="1" ref="B159" ca="1">_xludf.XLOOKUP(A159, 도서_정보[ID], 도서_정보[도서명], "")</f>
        <v>#NAME?</v>
      </c>
      <c r="C159" s="1" t="e">
        <f t="array" aca="1" ref="C159" ca="1">_xludf.XLOOKUP(A159, 도서_정보[ID], 도서_정보[작업 페이지], "")</f>
        <v>#NAME?</v>
      </c>
      <c r="D159" s="70" t="b">
        <v>0</v>
      </c>
      <c r="E159" s="70" t="b">
        <v>0</v>
      </c>
      <c r="F159" s="79" t="b">
        <v>0</v>
      </c>
      <c r="G159" s="70" t="b">
        <v>0</v>
      </c>
      <c r="H159" s="70" t="b">
        <v>0</v>
      </c>
      <c r="I159" s="70" t="b">
        <v>0</v>
      </c>
      <c r="J159" s="70" t="b">
        <v>0</v>
      </c>
      <c r="K159" s="79" t="b">
        <v>0</v>
      </c>
      <c r="L159" s="70" t="b">
        <v>0</v>
      </c>
      <c r="M159" s="70" t="b">
        <v>0</v>
      </c>
      <c r="N159" s="1"/>
    </row>
    <row r="160" spans="1:14" ht="22.5" customHeight="1">
      <c r="A160" s="1"/>
      <c r="B160" s="1" t="e">
        <f t="array" aca="1" ref="B160" ca="1">_xludf.XLOOKUP(A160, 도서_정보[ID], 도서_정보[도서명], "")</f>
        <v>#NAME?</v>
      </c>
      <c r="C160" s="1" t="e">
        <f t="array" aca="1" ref="C160" ca="1">_xludf.XLOOKUP(A160, 도서_정보[ID], 도서_정보[작업 페이지], "")</f>
        <v>#NAME?</v>
      </c>
      <c r="D160" s="70" t="b">
        <v>0</v>
      </c>
      <c r="E160" s="70" t="b">
        <v>0</v>
      </c>
      <c r="F160" s="79" t="b">
        <v>0</v>
      </c>
      <c r="G160" s="70" t="b">
        <v>0</v>
      </c>
      <c r="H160" s="70" t="b">
        <v>0</v>
      </c>
      <c r="I160" s="70" t="b">
        <v>0</v>
      </c>
      <c r="J160" s="70" t="b">
        <v>0</v>
      </c>
      <c r="K160" s="79" t="b">
        <v>0</v>
      </c>
      <c r="L160" s="70" t="b">
        <v>0</v>
      </c>
      <c r="M160" s="70" t="b">
        <v>0</v>
      </c>
      <c r="N160" s="1"/>
    </row>
    <row r="161" spans="1:14" ht="22.5" customHeight="1">
      <c r="A161" s="1"/>
      <c r="B161" s="1" t="e">
        <f t="array" aca="1" ref="B161" ca="1">_xludf.XLOOKUP(A161, 도서_정보[ID], 도서_정보[도서명], "")</f>
        <v>#NAME?</v>
      </c>
      <c r="C161" s="1" t="e">
        <f t="array" aca="1" ref="C161" ca="1">_xludf.XLOOKUP(A161, 도서_정보[ID], 도서_정보[작업 페이지], "")</f>
        <v>#NAME?</v>
      </c>
      <c r="D161" s="70" t="b">
        <v>0</v>
      </c>
      <c r="E161" s="70" t="b">
        <v>0</v>
      </c>
      <c r="F161" s="79" t="b">
        <v>0</v>
      </c>
      <c r="G161" s="70" t="b">
        <v>0</v>
      </c>
      <c r="H161" s="70" t="b">
        <v>0</v>
      </c>
      <c r="I161" s="70" t="b">
        <v>0</v>
      </c>
      <c r="J161" s="70" t="b">
        <v>0</v>
      </c>
      <c r="K161" s="79" t="b">
        <v>0</v>
      </c>
      <c r="L161" s="70" t="b">
        <v>0</v>
      </c>
      <c r="M161" s="70" t="b">
        <v>0</v>
      </c>
      <c r="N161" s="1"/>
    </row>
    <row r="162" spans="1:14" ht="22.5" customHeight="1">
      <c r="A162" s="1"/>
      <c r="B162" s="1" t="e">
        <f t="array" aca="1" ref="B162" ca="1">_xludf.XLOOKUP(A162, 도서_정보[ID], 도서_정보[도서명], "")</f>
        <v>#NAME?</v>
      </c>
      <c r="C162" s="1" t="e">
        <f t="array" aca="1" ref="C162" ca="1">_xludf.XLOOKUP(A162, 도서_정보[ID], 도서_정보[작업 페이지], "")</f>
        <v>#NAME?</v>
      </c>
      <c r="D162" s="70" t="b">
        <v>0</v>
      </c>
      <c r="E162" s="70" t="b">
        <v>0</v>
      </c>
      <c r="F162" s="79" t="b">
        <v>0</v>
      </c>
      <c r="G162" s="70" t="b">
        <v>0</v>
      </c>
      <c r="H162" s="70" t="b">
        <v>0</v>
      </c>
      <c r="I162" s="70" t="b">
        <v>0</v>
      </c>
      <c r="J162" s="70" t="b">
        <v>0</v>
      </c>
      <c r="K162" s="79" t="b">
        <v>0</v>
      </c>
      <c r="L162" s="70" t="b">
        <v>0</v>
      </c>
      <c r="M162" s="70" t="b">
        <v>0</v>
      </c>
      <c r="N162" s="1"/>
    </row>
    <row r="163" spans="1:14" ht="22.5" customHeight="1">
      <c r="A163" s="1"/>
      <c r="B163" s="1" t="e">
        <f t="array" aca="1" ref="B163" ca="1">_xludf.XLOOKUP(A163, 도서_정보[ID], 도서_정보[도서명], "")</f>
        <v>#NAME?</v>
      </c>
      <c r="C163" s="1" t="e">
        <f t="array" aca="1" ref="C163" ca="1">_xludf.XLOOKUP(A163, 도서_정보[ID], 도서_정보[작업 페이지], "")</f>
        <v>#NAME?</v>
      </c>
      <c r="D163" s="70" t="b">
        <v>0</v>
      </c>
      <c r="E163" s="70" t="b">
        <v>0</v>
      </c>
      <c r="F163" s="79" t="b">
        <v>0</v>
      </c>
      <c r="G163" s="70" t="b">
        <v>0</v>
      </c>
      <c r="H163" s="70" t="b">
        <v>0</v>
      </c>
      <c r="I163" s="70" t="b">
        <v>0</v>
      </c>
      <c r="J163" s="70" t="b">
        <v>0</v>
      </c>
      <c r="K163" s="79" t="b">
        <v>0</v>
      </c>
      <c r="L163" s="70" t="b">
        <v>0</v>
      </c>
      <c r="M163" s="70" t="b">
        <v>0</v>
      </c>
      <c r="N163" s="1"/>
    </row>
    <row r="164" spans="1:14" ht="22.5" customHeight="1">
      <c r="A164" s="1"/>
      <c r="B164" s="1" t="e">
        <f t="array" aca="1" ref="B164" ca="1">_xludf.XLOOKUP(A164, 도서_정보[ID], 도서_정보[도서명], "")</f>
        <v>#NAME?</v>
      </c>
      <c r="C164" s="1" t="e">
        <f t="array" aca="1" ref="C164" ca="1">_xludf.XLOOKUP(A164, 도서_정보[ID], 도서_정보[작업 페이지], "")</f>
        <v>#NAME?</v>
      </c>
      <c r="D164" s="70" t="b">
        <v>0</v>
      </c>
      <c r="E164" s="70" t="b">
        <v>0</v>
      </c>
      <c r="F164" s="79" t="b">
        <v>0</v>
      </c>
      <c r="G164" s="70" t="b">
        <v>0</v>
      </c>
      <c r="H164" s="70" t="b">
        <v>0</v>
      </c>
      <c r="I164" s="70" t="b">
        <v>0</v>
      </c>
      <c r="J164" s="70" t="b">
        <v>0</v>
      </c>
      <c r="K164" s="79" t="b">
        <v>0</v>
      </c>
      <c r="L164" s="70" t="b">
        <v>0</v>
      </c>
      <c r="M164" s="70" t="b">
        <v>0</v>
      </c>
      <c r="N164" s="1"/>
    </row>
    <row r="165" spans="1:14" ht="22.5" customHeight="1">
      <c r="A165" s="1"/>
      <c r="B165" s="1" t="e">
        <f t="array" aca="1" ref="B165" ca="1">_xludf.XLOOKUP(A165, 도서_정보[ID], 도서_정보[도서명], "")</f>
        <v>#NAME?</v>
      </c>
      <c r="C165" s="1" t="e">
        <f t="array" aca="1" ref="C165" ca="1">_xludf.XLOOKUP(A165, 도서_정보[ID], 도서_정보[작업 페이지], "")</f>
        <v>#NAME?</v>
      </c>
      <c r="D165" s="70" t="b">
        <v>0</v>
      </c>
      <c r="E165" s="70" t="b">
        <v>0</v>
      </c>
      <c r="F165" s="79" t="b">
        <v>0</v>
      </c>
      <c r="G165" s="70" t="b">
        <v>0</v>
      </c>
      <c r="H165" s="70" t="b">
        <v>0</v>
      </c>
      <c r="I165" s="70" t="b">
        <v>0</v>
      </c>
      <c r="J165" s="70" t="b">
        <v>0</v>
      </c>
      <c r="K165" s="79" t="b">
        <v>0</v>
      </c>
      <c r="L165" s="70" t="b">
        <v>0</v>
      </c>
      <c r="M165" s="70" t="b">
        <v>0</v>
      </c>
      <c r="N165" s="1"/>
    </row>
    <row r="166" spans="1:14" ht="22.5" customHeight="1">
      <c r="A166" s="1"/>
      <c r="B166" s="1" t="e">
        <f t="array" aca="1" ref="B166" ca="1">_xludf.XLOOKUP(A166, 도서_정보[ID], 도서_정보[도서명], "")</f>
        <v>#NAME?</v>
      </c>
      <c r="C166" s="1" t="e">
        <f t="array" aca="1" ref="C166" ca="1">_xludf.XLOOKUP(A166, 도서_정보[ID], 도서_정보[작업 페이지], "")</f>
        <v>#NAME?</v>
      </c>
      <c r="D166" s="70" t="b">
        <v>0</v>
      </c>
      <c r="E166" s="70" t="b">
        <v>0</v>
      </c>
      <c r="F166" s="79" t="b">
        <v>0</v>
      </c>
      <c r="G166" s="70" t="b">
        <v>0</v>
      </c>
      <c r="H166" s="70" t="b">
        <v>0</v>
      </c>
      <c r="I166" s="70" t="b">
        <v>0</v>
      </c>
      <c r="J166" s="70" t="b">
        <v>0</v>
      </c>
      <c r="K166" s="79" t="b">
        <v>0</v>
      </c>
      <c r="L166" s="70" t="b">
        <v>0</v>
      </c>
      <c r="M166" s="70" t="b">
        <v>0</v>
      </c>
      <c r="N166" s="1"/>
    </row>
    <row r="167" spans="1:14" ht="22.5" customHeight="1">
      <c r="A167" s="1"/>
      <c r="B167" s="1" t="e">
        <f t="array" aca="1" ref="B167" ca="1">_xludf.XLOOKUP(A167, 도서_정보[ID], 도서_정보[도서명], "")</f>
        <v>#NAME?</v>
      </c>
      <c r="C167" s="1" t="e">
        <f t="array" aca="1" ref="C167" ca="1">_xludf.XLOOKUP(A167, 도서_정보[ID], 도서_정보[작업 페이지], "")</f>
        <v>#NAME?</v>
      </c>
      <c r="D167" s="70" t="b">
        <v>0</v>
      </c>
      <c r="E167" s="70" t="b">
        <v>0</v>
      </c>
      <c r="F167" s="79" t="b">
        <v>0</v>
      </c>
      <c r="G167" s="70" t="b">
        <v>0</v>
      </c>
      <c r="H167" s="70" t="b">
        <v>0</v>
      </c>
      <c r="I167" s="70" t="b">
        <v>0</v>
      </c>
      <c r="J167" s="70" t="b">
        <v>0</v>
      </c>
      <c r="K167" s="79" t="b">
        <v>0</v>
      </c>
      <c r="L167" s="70" t="b">
        <v>0</v>
      </c>
      <c r="M167" s="70" t="b">
        <v>0</v>
      </c>
      <c r="N167" s="1"/>
    </row>
    <row r="168" spans="1:14" ht="22.5" customHeight="1">
      <c r="A168" s="1"/>
      <c r="B168" s="1" t="e">
        <f t="array" aca="1" ref="B168" ca="1">_xludf.XLOOKUP(A168, 도서_정보[ID], 도서_정보[도서명], "")</f>
        <v>#NAME?</v>
      </c>
      <c r="C168" s="1" t="e">
        <f t="array" aca="1" ref="C168" ca="1">_xludf.XLOOKUP(A168, 도서_정보[ID], 도서_정보[작업 페이지], "")</f>
        <v>#NAME?</v>
      </c>
      <c r="D168" s="70" t="b">
        <v>0</v>
      </c>
      <c r="E168" s="70" t="b">
        <v>0</v>
      </c>
      <c r="F168" s="79" t="b">
        <v>0</v>
      </c>
      <c r="G168" s="70" t="b">
        <v>0</v>
      </c>
      <c r="H168" s="70" t="b">
        <v>0</v>
      </c>
      <c r="I168" s="70" t="b">
        <v>0</v>
      </c>
      <c r="J168" s="70" t="b">
        <v>0</v>
      </c>
      <c r="K168" s="79" t="b">
        <v>0</v>
      </c>
      <c r="L168" s="70" t="b">
        <v>0</v>
      </c>
      <c r="M168" s="70" t="b">
        <v>0</v>
      </c>
      <c r="N168" s="1"/>
    </row>
    <row r="169" spans="1:14" ht="22.5" customHeight="1">
      <c r="A169" s="1"/>
      <c r="B169" s="1" t="e">
        <f t="array" aca="1" ref="B169" ca="1">_xludf.XLOOKUP(A169, 도서_정보[ID], 도서_정보[도서명], "")</f>
        <v>#NAME?</v>
      </c>
      <c r="C169" s="1" t="e">
        <f t="array" aca="1" ref="C169" ca="1">_xludf.XLOOKUP(A169, 도서_정보[ID], 도서_정보[작업 페이지], "")</f>
        <v>#NAME?</v>
      </c>
      <c r="D169" s="70" t="b">
        <v>0</v>
      </c>
      <c r="E169" s="70" t="b">
        <v>0</v>
      </c>
      <c r="F169" s="79" t="b">
        <v>0</v>
      </c>
      <c r="G169" s="70" t="b">
        <v>0</v>
      </c>
      <c r="H169" s="70" t="b">
        <v>0</v>
      </c>
      <c r="I169" s="70" t="b">
        <v>0</v>
      </c>
      <c r="J169" s="70" t="b">
        <v>0</v>
      </c>
      <c r="K169" s="79" t="b">
        <v>0</v>
      </c>
      <c r="L169" s="70" t="b">
        <v>0</v>
      </c>
      <c r="M169" s="70" t="b">
        <v>0</v>
      </c>
      <c r="N169" s="1"/>
    </row>
    <row r="170" spans="1:14" ht="22.5" customHeight="1">
      <c r="A170" s="1"/>
      <c r="B170" s="1" t="e">
        <f t="array" aca="1" ref="B170" ca="1">_xludf.XLOOKUP(A170, 도서_정보[ID], 도서_정보[도서명], "")</f>
        <v>#NAME?</v>
      </c>
      <c r="C170" s="1" t="e">
        <f t="array" aca="1" ref="C170" ca="1">_xludf.XLOOKUP(A170, 도서_정보[ID], 도서_정보[작업 페이지], "")</f>
        <v>#NAME?</v>
      </c>
      <c r="D170" s="70" t="b">
        <v>0</v>
      </c>
      <c r="E170" s="70" t="b">
        <v>0</v>
      </c>
      <c r="F170" s="79" t="b">
        <v>0</v>
      </c>
      <c r="G170" s="70" t="b">
        <v>0</v>
      </c>
      <c r="H170" s="70" t="b">
        <v>0</v>
      </c>
      <c r="I170" s="70" t="b">
        <v>0</v>
      </c>
      <c r="J170" s="70" t="b">
        <v>0</v>
      </c>
      <c r="K170" s="79" t="b">
        <v>0</v>
      </c>
      <c r="L170" s="70" t="b">
        <v>0</v>
      </c>
      <c r="M170" s="70" t="b">
        <v>0</v>
      </c>
      <c r="N170" s="1"/>
    </row>
    <row r="171" spans="1:14" ht="22.5" customHeight="1">
      <c r="A171" s="1"/>
      <c r="B171" s="1" t="e">
        <f t="array" aca="1" ref="B171" ca="1">_xludf.XLOOKUP(A171, 도서_정보[ID], 도서_정보[도서명], "")</f>
        <v>#NAME?</v>
      </c>
      <c r="C171" s="1" t="e">
        <f t="array" aca="1" ref="C171" ca="1">_xludf.XLOOKUP(A171, 도서_정보[ID], 도서_정보[작업 페이지], "")</f>
        <v>#NAME?</v>
      </c>
      <c r="D171" s="70" t="b">
        <v>0</v>
      </c>
      <c r="E171" s="70" t="b">
        <v>0</v>
      </c>
      <c r="F171" s="79" t="b">
        <v>0</v>
      </c>
      <c r="G171" s="70" t="b">
        <v>0</v>
      </c>
      <c r="H171" s="70" t="b">
        <v>0</v>
      </c>
      <c r="I171" s="70" t="b">
        <v>0</v>
      </c>
      <c r="J171" s="70" t="b">
        <v>0</v>
      </c>
      <c r="K171" s="79" t="b">
        <v>0</v>
      </c>
      <c r="L171" s="70" t="b">
        <v>0</v>
      </c>
      <c r="M171" s="70" t="b">
        <v>0</v>
      </c>
      <c r="N171" s="1"/>
    </row>
    <row r="172" spans="1:14" ht="22.5" customHeight="1">
      <c r="A172" s="1"/>
      <c r="B172" s="1" t="e">
        <f t="array" aca="1" ref="B172" ca="1">_xludf.XLOOKUP(A172, 도서_정보[ID], 도서_정보[도서명], "")</f>
        <v>#NAME?</v>
      </c>
      <c r="C172" s="1" t="e">
        <f t="array" aca="1" ref="C172" ca="1">_xludf.XLOOKUP(A172, 도서_정보[ID], 도서_정보[작업 페이지], "")</f>
        <v>#NAME?</v>
      </c>
      <c r="D172" s="70" t="b">
        <v>0</v>
      </c>
      <c r="E172" s="70" t="b">
        <v>0</v>
      </c>
      <c r="F172" s="79" t="b">
        <v>0</v>
      </c>
      <c r="G172" s="70" t="b">
        <v>0</v>
      </c>
      <c r="H172" s="70" t="b">
        <v>0</v>
      </c>
      <c r="I172" s="70" t="b">
        <v>0</v>
      </c>
      <c r="J172" s="70" t="b">
        <v>0</v>
      </c>
      <c r="K172" s="79" t="b">
        <v>0</v>
      </c>
      <c r="L172" s="70" t="b">
        <v>0</v>
      </c>
      <c r="M172" s="70" t="b">
        <v>0</v>
      </c>
      <c r="N172" s="1"/>
    </row>
    <row r="173" spans="1:14" ht="22.5" customHeight="1">
      <c r="A173" s="1"/>
      <c r="B173" s="1" t="e">
        <f t="array" aca="1" ref="B173" ca="1">_xludf.XLOOKUP(A173, 도서_정보[ID], 도서_정보[도서명], "")</f>
        <v>#NAME?</v>
      </c>
      <c r="C173" s="1" t="e">
        <f t="array" aca="1" ref="C173" ca="1">_xludf.XLOOKUP(A173, 도서_정보[ID], 도서_정보[작업 페이지], "")</f>
        <v>#NAME?</v>
      </c>
      <c r="D173" s="70" t="b">
        <v>0</v>
      </c>
      <c r="E173" s="70" t="b">
        <v>0</v>
      </c>
      <c r="F173" s="79" t="b">
        <v>0</v>
      </c>
      <c r="G173" s="70" t="b">
        <v>0</v>
      </c>
      <c r="H173" s="70" t="b">
        <v>0</v>
      </c>
      <c r="I173" s="70" t="b">
        <v>0</v>
      </c>
      <c r="J173" s="70" t="b">
        <v>0</v>
      </c>
      <c r="K173" s="79" t="b">
        <v>0</v>
      </c>
      <c r="L173" s="70" t="b">
        <v>0</v>
      </c>
      <c r="M173" s="70" t="b">
        <v>0</v>
      </c>
      <c r="N173" s="1"/>
    </row>
    <row r="174" spans="1:14" ht="22.5" customHeight="1">
      <c r="A174" s="1"/>
      <c r="B174" s="1" t="e">
        <f t="array" aca="1" ref="B174" ca="1">_xludf.XLOOKUP(A174, 도서_정보[ID], 도서_정보[도서명], "")</f>
        <v>#NAME?</v>
      </c>
      <c r="C174" s="1" t="e">
        <f t="array" aca="1" ref="C174" ca="1">_xludf.XLOOKUP(A174, 도서_정보[ID], 도서_정보[작업 페이지], "")</f>
        <v>#NAME?</v>
      </c>
      <c r="D174" s="70" t="b">
        <v>0</v>
      </c>
      <c r="E174" s="70" t="b">
        <v>0</v>
      </c>
      <c r="F174" s="79" t="b">
        <v>0</v>
      </c>
      <c r="G174" s="70" t="b">
        <v>0</v>
      </c>
      <c r="H174" s="70" t="b">
        <v>0</v>
      </c>
      <c r="I174" s="70" t="b">
        <v>0</v>
      </c>
      <c r="J174" s="70" t="b">
        <v>0</v>
      </c>
      <c r="K174" s="79" t="b">
        <v>0</v>
      </c>
      <c r="L174" s="70" t="b">
        <v>0</v>
      </c>
      <c r="M174" s="70" t="b">
        <v>0</v>
      </c>
      <c r="N174" s="1"/>
    </row>
    <row r="175" spans="1:14" ht="22.5" customHeight="1">
      <c r="A175" s="1"/>
      <c r="B175" s="1" t="e">
        <f t="array" aca="1" ref="B175" ca="1">_xludf.XLOOKUP(A175, 도서_정보[ID], 도서_정보[도서명], "")</f>
        <v>#NAME?</v>
      </c>
      <c r="C175" s="1" t="e">
        <f t="array" aca="1" ref="C175" ca="1">_xludf.XLOOKUP(A175, 도서_정보[ID], 도서_정보[작업 페이지], "")</f>
        <v>#NAME?</v>
      </c>
      <c r="D175" s="70" t="b">
        <v>0</v>
      </c>
      <c r="E175" s="70" t="b">
        <v>0</v>
      </c>
      <c r="F175" s="79" t="b">
        <v>0</v>
      </c>
      <c r="G175" s="70" t="b">
        <v>0</v>
      </c>
      <c r="H175" s="70" t="b">
        <v>0</v>
      </c>
      <c r="I175" s="70" t="b">
        <v>0</v>
      </c>
      <c r="J175" s="70" t="b">
        <v>0</v>
      </c>
      <c r="K175" s="79" t="b">
        <v>0</v>
      </c>
      <c r="L175" s="70" t="b">
        <v>0</v>
      </c>
      <c r="M175" s="70" t="b">
        <v>0</v>
      </c>
      <c r="N175" s="1"/>
    </row>
    <row r="176" spans="1:14" ht="22.5" customHeight="1">
      <c r="A176" s="1"/>
      <c r="B176" s="1" t="e">
        <f t="array" aca="1" ref="B176" ca="1">_xludf.XLOOKUP(A176, 도서_정보[ID], 도서_정보[도서명], "")</f>
        <v>#NAME?</v>
      </c>
      <c r="C176" s="1" t="e">
        <f t="array" aca="1" ref="C176" ca="1">_xludf.XLOOKUP(A176, 도서_정보[ID], 도서_정보[작업 페이지], "")</f>
        <v>#NAME?</v>
      </c>
      <c r="D176" s="70" t="b">
        <v>0</v>
      </c>
      <c r="E176" s="70" t="b">
        <v>0</v>
      </c>
      <c r="F176" s="79" t="b">
        <v>0</v>
      </c>
      <c r="G176" s="70" t="b">
        <v>0</v>
      </c>
      <c r="H176" s="70" t="b">
        <v>0</v>
      </c>
      <c r="I176" s="70" t="b">
        <v>0</v>
      </c>
      <c r="J176" s="70" t="b">
        <v>0</v>
      </c>
      <c r="K176" s="79" t="b">
        <v>0</v>
      </c>
      <c r="L176" s="70" t="b">
        <v>0</v>
      </c>
      <c r="M176" s="70" t="b">
        <v>0</v>
      </c>
      <c r="N176" s="1"/>
    </row>
    <row r="177" spans="1:14" ht="22.5" customHeight="1">
      <c r="A177" s="1"/>
      <c r="B177" s="1" t="e">
        <f t="array" aca="1" ref="B177" ca="1">_xludf.XLOOKUP(A177, 도서_정보[ID], 도서_정보[도서명], "")</f>
        <v>#NAME?</v>
      </c>
      <c r="C177" s="1" t="e">
        <f t="array" aca="1" ref="C177" ca="1">_xludf.XLOOKUP(A177, 도서_정보[ID], 도서_정보[작업 페이지], "")</f>
        <v>#NAME?</v>
      </c>
      <c r="D177" s="70" t="b">
        <v>0</v>
      </c>
      <c r="E177" s="70" t="b">
        <v>0</v>
      </c>
      <c r="F177" s="79" t="b">
        <v>0</v>
      </c>
      <c r="G177" s="70" t="b">
        <v>0</v>
      </c>
      <c r="H177" s="70" t="b">
        <v>0</v>
      </c>
      <c r="I177" s="70" t="b">
        <v>0</v>
      </c>
      <c r="J177" s="70" t="b">
        <v>0</v>
      </c>
      <c r="K177" s="79" t="b">
        <v>0</v>
      </c>
      <c r="L177" s="70" t="b">
        <v>0</v>
      </c>
      <c r="M177" s="70" t="b">
        <v>0</v>
      </c>
      <c r="N177" s="1"/>
    </row>
    <row r="178" spans="1:14" ht="22.5" customHeight="1">
      <c r="A178" s="1"/>
      <c r="B178" s="1" t="e">
        <f t="array" aca="1" ref="B178" ca="1">_xludf.XLOOKUP(A178, 도서_정보[ID], 도서_정보[도서명], "")</f>
        <v>#NAME?</v>
      </c>
      <c r="C178" s="1" t="e">
        <f t="array" aca="1" ref="C178" ca="1">_xludf.XLOOKUP(A178, 도서_정보[ID], 도서_정보[작업 페이지], "")</f>
        <v>#NAME?</v>
      </c>
      <c r="D178" s="70" t="b">
        <v>0</v>
      </c>
      <c r="E178" s="70" t="b">
        <v>0</v>
      </c>
      <c r="F178" s="79" t="b">
        <v>0</v>
      </c>
      <c r="G178" s="70" t="b">
        <v>0</v>
      </c>
      <c r="H178" s="70" t="b">
        <v>0</v>
      </c>
      <c r="I178" s="70" t="b">
        <v>0</v>
      </c>
      <c r="J178" s="70" t="b">
        <v>0</v>
      </c>
      <c r="K178" s="79" t="b">
        <v>0</v>
      </c>
      <c r="L178" s="70" t="b">
        <v>0</v>
      </c>
      <c r="M178" s="70" t="b">
        <v>0</v>
      </c>
      <c r="N178" s="1"/>
    </row>
    <row r="179" spans="1:14" ht="22.5" customHeight="1">
      <c r="A179" s="1"/>
      <c r="B179" s="1" t="e">
        <f t="array" aca="1" ref="B179" ca="1">_xludf.XLOOKUP(A179, 도서_정보[ID], 도서_정보[도서명], "")</f>
        <v>#NAME?</v>
      </c>
      <c r="C179" s="1" t="e">
        <f t="array" aca="1" ref="C179" ca="1">_xludf.XLOOKUP(A179, 도서_정보[ID], 도서_정보[작업 페이지], "")</f>
        <v>#NAME?</v>
      </c>
      <c r="D179" s="70" t="b">
        <v>0</v>
      </c>
      <c r="E179" s="70" t="b">
        <v>0</v>
      </c>
      <c r="F179" s="79" t="b">
        <v>0</v>
      </c>
      <c r="G179" s="70" t="b">
        <v>0</v>
      </c>
      <c r="H179" s="70" t="b">
        <v>0</v>
      </c>
      <c r="I179" s="70" t="b">
        <v>0</v>
      </c>
      <c r="J179" s="70" t="b">
        <v>0</v>
      </c>
      <c r="K179" s="79" t="b">
        <v>0</v>
      </c>
      <c r="L179" s="70" t="b">
        <v>0</v>
      </c>
      <c r="M179" s="70" t="b">
        <v>0</v>
      </c>
      <c r="N179" s="1"/>
    </row>
    <row r="180" spans="1:14" ht="22.5" customHeight="1">
      <c r="A180" s="1"/>
      <c r="B180" s="1" t="e">
        <f t="array" aca="1" ref="B180" ca="1">_xludf.XLOOKUP(A180, 도서_정보[ID], 도서_정보[도서명], "")</f>
        <v>#NAME?</v>
      </c>
      <c r="C180" s="1" t="e">
        <f t="array" aca="1" ref="C180" ca="1">_xludf.XLOOKUP(A180, 도서_정보[ID], 도서_정보[작업 페이지], "")</f>
        <v>#NAME?</v>
      </c>
      <c r="D180" s="70" t="b">
        <v>0</v>
      </c>
      <c r="E180" s="70" t="b">
        <v>0</v>
      </c>
      <c r="F180" s="79" t="b">
        <v>0</v>
      </c>
      <c r="G180" s="70" t="b">
        <v>0</v>
      </c>
      <c r="H180" s="70" t="b">
        <v>0</v>
      </c>
      <c r="I180" s="70" t="b">
        <v>0</v>
      </c>
      <c r="J180" s="70" t="b">
        <v>0</v>
      </c>
      <c r="K180" s="79" t="b">
        <v>0</v>
      </c>
      <c r="L180" s="70" t="b">
        <v>0</v>
      </c>
      <c r="M180" s="70" t="b">
        <v>0</v>
      </c>
      <c r="N180" s="1"/>
    </row>
    <row r="181" spans="1:14" ht="22.5" customHeight="1">
      <c r="A181" s="1"/>
      <c r="B181" s="1" t="e">
        <f t="array" aca="1" ref="B181" ca="1">_xludf.XLOOKUP(A181, 도서_정보[ID], 도서_정보[도서명], "")</f>
        <v>#NAME?</v>
      </c>
      <c r="C181" s="1" t="e">
        <f t="array" aca="1" ref="C181" ca="1">_xludf.XLOOKUP(A181, 도서_정보[ID], 도서_정보[작업 페이지], "")</f>
        <v>#NAME?</v>
      </c>
      <c r="D181" s="70" t="b">
        <v>0</v>
      </c>
      <c r="E181" s="70" t="b">
        <v>0</v>
      </c>
      <c r="F181" s="79" t="b">
        <v>0</v>
      </c>
      <c r="G181" s="70" t="b">
        <v>0</v>
      </c>
      <c r="H181" s="70" t="b">
        <v>0</v>
      </c>
      <c r="I181" s="70" t="b">
        <v>0</v>
      </c>
      <c r="J181" s="70" t="b">
        <v>0</v>
      </c>
      <c r="K181" s="79" t="b">
        <v>0</v>
      </c>
      <c r="L181" s="70" t="b">
        <v>0</v>
      </c>
      <c r="M181" s="70" t="b">
        <v>0</v>
      </c>
      <c r="N181" s="1"/>
    </row>
    <row r="182" spans="1:14" ht="22.5" customHeight="1">
      <c r="A182" s="1"/>
      <c r="B182" s="1" t="e">
        <f t="array" aca="1" ref="B182" ca="1">_xludf.XLOOKUP(A182, 도서_정보[ID], 도서_정보[도서명], "")</f>
        <v>#NAME?</v>
      </c>
      <c r="C182" s="1" t="e">
        <f t="array" aca="1" ref="C182" ca="1">_xludf.XLOOKUP(A182, 도서_정보[ID], 도서_정보[작업 페이지], "")</f>
        <v>#NAME?</v>
      </c>
      <c r="D182" s="70" t="b">
        <v>0</v>
      </c>
      <c r="E182" s="70" t="b">
        <v>0</v>
      </c>
      <c r="F182" s="79" t="b">
        <v>0</v>
      </c>
      <c r="G182" s="70" t="b">
        <v>0</v>
      </c>
      <c r="H182" s="70" t="b">
        <v>0</v>
      </c>
      <c r="I182" s="70" t="b">
        <v>0</v>
      </c>
      <c r="J182" s="70" t="b">
        <v>0</v>
      </c>
      <c r="K182" s="79" t="b">
        <v>0</v>
      </c>
      <c r="L182" s="70" t="b">
        <v>0</v>
      </c>
      <c r="M182" s="70" t="b">
        <v>0</v>
      </c>
      <c r="N182" s="1"/>
    </row>
    <row r="183" spans="1:14" ht="22.5" customHeight="1">
      <c r="A183" s="1"/>
      <c r="B183" s="1" t="e">
        <f t="array" aca="1" ref="B183" ca="1">_xludf.XLOOKUP(A183, 도서_정보[ID], 도서_정보[도서명], "")</f>
        <v>#NAME?</v>
      </c>
      <c r="C183" s="1" t="e">
        <f t="array" aca="1" ref="C183" ca="1">_xludf.XLOOKUP(A183, 도서_정보[ID], 도서_정보[작업 페이지], "")</f>
        <v>#NAME?</v>
      </c>
      <c r="D183" s="70" t="b">
        <v>0</v>
      </c>
      <c r="E183" s="70" t="b">
        <v>0</v>
      </c>
      <c r="F183" s="79" t="b">
        <v>0</v>
      </c>
      <c r="G183" s="70" t="b">
        <v>0</v>
      </c>
      <c r="H183" s="70" t="b">
        <v>0</v>
      </c>
      <c r="I183" s="70" t="b">
        <v>0</v>
      </c>
      <c r="J183" s="70" t="b">
        <v>0</v>
      </c>
      <c r="K183" s="79" t="b">
        <v>0</v>
      </c>
      <c r="L183" s="70" t="b">
        <v>0</v>
      </c>
      <c r="M183" s="70" t="b">
        <v>0</v>
      </c>
      <c r="N183" s="1"/>
    </row>
    <row r="184" spans="1:14" ht="22.5" customHeight="1">
      <c r="A184" s="1"/>
      <c r="B184" s="1" t="e">
        <f t="array" aca="1" ref="B184" ca="1">_xludf.XLOOKUP(A184, 도서_정보[ID], 도서_정보[도서명], "")</f>
        <v>#NAME?</v>
      </c>
      <c r="C184" s="1" t="e">
        <f t="array" aca="1" ref="C184" ca="1">_xludf.XLOOKUP(A184, 도서_정보[ID], 도서_정보[작업 페이지], "")</f>
        <v>#NAME?</v>
      </c>
      <c r="D184" s="70" t="b">
        <v>0</v>
      </c>
      <c r="E184" s="70" t="b">
        <v>0</v>
      </c>
      <c r="F184" s="79" t="b">
        <v>0</v>
      </c>
      <c r="G184" s="70" t="b">
        <v>0</v>
      </c>
      <c r="H184" s="70" t="b">
        <v>0</v>
      </c>
      <c r="I184" s="70" t="b">
        <v>0</v>
      </c>
      <c r="J184" s="70" t="b">
        <v>0</v>
      </c>
      <c r="K184" s="79" t="b">
        <v>0</v>
      </c>
      <c r="L184" s="70" t="b">
        <v>0</v>
      </c>
      <c r="M184" s="70" t="b">
        <v>0</v>
      </c>
      <c r="N184" s="1"/>
    </row>
    <row r="185" spans="1:14" ht="22.5" customHeight="1">
      <c r="A185" s="1"/>
      <c r="B185" s="1" t="e">
        <f t="array" aca="1" ref="B185" ca="1">_xludf.XLOOKUP(A185, 도서_정보[ID], 도서_정보[도서명], "")</f>
        <v>#NAME?</v>
      </c>
      <c r="C185" s="1" t="e">
        <f t="array" aca="1" ref="C185" ca="1">_xludf.XLOOKUP(A185, 도서_정보[ID], 도서_정보[작업 페이지], "")</f>
        <v>#NAME?</v>
      </c>
      <c r="D185" s="70" t="b">
        <v>0</v>
      </c>
      <c r="E185" s="70" t="b">
        <v>0</v>
      </c>
      <c r="F185" s="79" t="b">
        <v>0</v>
      </c>
      <c r="G185" s="70" t="b">
        <v>0</v>
      </c>
      <c r="H185" s="70" t="b">
        <v>0</v>
      </c>
      <c r="I185" s="70" t="b">
        <v>0</v>
      </c>
      <c r="J185" s="70" t="b">
        <v>0</v>
      </c>
      <c r="K185" s="79" t="b">
        <v>0</v>
      </c>
      <c r="L185" s="70" t="b">
        <v>0</v>
      </c>
      <c r="M185" s="70" t="b">
        <v>0</v>
      </c>
      <c r="N185" s="1"/>
    </row>
    <row r="186" spans="1:14" ht="22.5" customHeight="1">
      <c r="A186" s="1"/>
      <c r="B186" s="1" t="e">
        <f t="array" aca="1" ref="B186" ca="1">_xludf.XLOOKUP(A186, 도서_정보[ID], 도서_정보[도서명], "")</f>
        <v>#NAME?</v>
      </c>
      <c r="C186" s="1" t="e">
        <f t="array" aca="1" ref="C186" ca="1">_xludf.XLOOKUP(A186, 도서_정보[ID], 도서_정보[작업 페이지], "")</f>
        <v>#NAME?</v>
      </c>
      <c r="D186" s="70" t="b">
        <v>0</v>
      </c>
      <c r="E186" s="70" t="b">
        <v>0</v>
      </c>
      <c r="F186" s="79" t="b">
        <v>0</v>
      </c>
      <c r="G186" s="70" t="b">
        <v>0</v>
      </c>
      <c r="H186" s="70" t="b">
        <v>0</v>
      </c>
      <c r="I186" s="70" t="b">
        <v>0</v>
      </c>
      <c r="J186" s="70" t="b">
        <v>0</v>
      </c>
      <c r="K186" s="79" t="b">
        <v>0</v>
      </c>
      <c r="L186" s="70" t="b">
        <v>0</v>
      </c>
      <c r="M186" s="70" t="b">
        <v>0</v>
      </c>
      <c r="N186" s="1"/>
    </row>
    <row r="187" spans="1:14" ht="22.5" customHeight="1">
      <c r="A187" s="1"/>
      <c r="B187" s="1" t="e">
        <f t="array" aca="1" ref="B187" ca="1">_xludf.XLOOKUP(A187, 도서_정보[ID], 도서_정보[도서명], "")</f>
        <v>#NAME?</v>
      </c>
      <c r="C187" s="1" t="e">
        <f t="array" aca="1" ref="C187" ca="1">_xludf.XLOOKUP(A187, 도서_정보[ID], 도서_정보[작업 페이지], "")</f>
        <v>#NAME?</v>
      </c>
      <c r="D187" s="70" t="b">
        <v>0</v>
      </c>
      <c r="E187" s="70" t="b">
        <v>0</v>
      </c>
      <c r="F187" s="79" t="b">
        <v>0</v>
      </c>
      <c r="G187" s="70" t="b">
        <v>0</v>
      </c>
      <c r="H187" s="70" t="b">
        <v>0</v>
      </c>
      <c r="I187" s="70" t="b">
        <v>0</v>
      </c>
      <c r="J187" s="70" t="b">
        <v>0</v>
      </c>
      <c r="K187" s="79" t="b">
        <v>0</v>
      </c>
      <c r="L187" s="70" t="b">
        <v>0</v>
      </c>
      <c r="M187" s="70" t="b">
        <v>0</v>
      </c>
      <c r="N187" s="1"/>
    </row>
    <row r="188" spans="1:14" ht="22.5" customHeight="1">
      <c r="A188" s="1"/>
      <c r="B188" s="1" t="e">
        <f t="array" aca="1" ref="B188" ca="1">_xludf.XLOOKUP(A188, 도서_정보[ID], 도서_정보[도서명], "")</f>
        <v>#NAME?</v>
      </c>
      <c r="C188" s="1" t="e">
        <f t="array" aca="1" ref="C188" ca="1">_xludf.XLOOKUP(A188, 도서_정보[ID], 도서_정보[작업 페이지], "")</f>
        <v>#NAME?</v>
      </c>
      <c r="D188" s="70" t="b">
        <v>0</v>
      </c>
      <c r="E188" s="70" t="b">
        <v>0</v>
      </c>
      <c r="F188" s="79" t="b">
        <v>0</v>
      </c>
      <c r="G188" s="70" t="b">
        <v>0</v>
      </c>
      <c r="H188" s="70" t="b">
        <v>0</v>
      </c>
      <c r="I188" s="70" t="b">
        <v>0</v>
      </c>
      <c r="J188" s="70" t="b">
        <v>0</v>
      </c>
      <c r="K188" s="79" t="b">
        <v>0</v>
      </c>
      <c r="L188" s="70" t="b">
        <v>0</v>
      </c>
      <c r="M188" s="70" t="b">
        <v>0</v>
      </c>
      <c r="N188" s="1"/>
    </row>
    <row r="189" spans="1:14" ht="22.5" customHeight="1">
      <c r="A189" s="1"/>
      <c r="B189" s="1" t="e">
        <f t="array" aca="1" ref="B189" ca="1">_xludf.XLOOKUP(A189, 도서_정보[ID], 도서_정보[도서명], "")</f>
        <v>#NAME?</v>
      </c>
      <c r="C189" s="1" t="e">
        <f t="array" aca="1" ref="C189" ca="1">_xludf.XLOOKUP(A189, 도서_정보[ID], 도서_정보[작업 페이지], "")</f>
        <v>#NAME?</v>
      </c>
      <c r="D189" s="70" t="b">
        <v>0</v>
      </c>
      <c r="E189" s="70" t="b">
        <v>0</v>
      </c>
      <c r="F189" s="79" t="b">
        <v>0</v>
      </c>
      <c r="G189" s="70" t="b">
        <v>0</v>
      </c>
      <c r="H189" s="70" t="b">
        <v>0</v>
      </c>
      <c r="I189" s="70" t="b">
        <v>0</v>
      </c>
      <c r="J189" s="70" t="b">
        <v>0</v>
      </c>
      <c r="K189" s="79" t="b">
        <v>0</v>
      </c>
      <c r="L189" s="70" t="b">
        <v>0</v>
      </c>
      <c r="M189" s="70" t="b">
        <v>0</v>
      </c>
      <c r="N189" s="1"/>
    </row>
    <row r="190" spans="1:14" ht="22.5" customHeight="1">
      <c r="A190" s="1"/>
      <c r="B190" s="1" t="e">
        <f t="array" aca="1" ref="B190" ca="1">_xludf.XLOOKUP(A190, 도서_정보[ID], 도서_정보[도서명], "")</f>
        <v>#NAME?</v>
      </c>
      <c r="C190" s="1" t="e">
        <f t="array" aca="1" ref="C190" ca="1">_xludf.XLOOKUP(A190, 도서_정보[ID], 도서_정보[작업 페이지], "")</f>
        <v>#NAME?</v>
      </c>
      <c r="D190" s="70" t="b">
        <v>0</v>
      </c>
      <c r="E190" s="70" t="b">
        <v>0</v>
      </c>
      <c r="F190" s="79" t="b">
        <v>0</v>
      </c>
      <c r="G190" s="70" t="b">
        <v>0</v>
      </c>
      <c r="H190" s="70" t="b">
        <v>0</v>
      </c>
      <c r="I190" s="70" t="b">
        <v>0</v>
      </c>
      <c r="J190" s="70" t="b">
        <v>0</v>
      </c>
      <c r="K190" s="79" t="b">
        <v>0</v>
      </c>
      <c r="L190" s="70" t="b">
        <v>0</v>
      </c>
      <c r="M190" s="70" t="b">
        <v>0</v>
      </c>
      <c r="N190" s="1"/>
    </row>
    <row r="191" spans="1:14" ht="22.5" customHeight="1">
      <c r="A191" s="1"/>
      <c r="B191" s="1" t="e">
        <f t="array" aca="1" ref="B191" ca="1">_xludf.XLOOKUP(A191, 도서_정보[ID], 도서_정보[도서명], "")</f>
        <v>#NAME?</v>
      </c>
      <c r="C191" s="1" t="e">
        <f t="array" aca="1" ref="C191" ca="1">_xludf.XLOOKUP(A191, 도서_정보[ID], 도서_정보[작업 페이지], "")</f>
        <v>#NAME?</v>
      </c>
      <c r="D191" s="70" t="b">
        <v>0</v>
      </c>
      <c r="E191" s="70" t="b">
        <v>0</v>
      </c>
      <c r="F191" s="79" t="b">
        <v>0</v>
      </c>
      <c r="G191" s="70" t="b">
        <v>0</v>
      </c>
      <c r="H191" s="70" t="b">
        <v>0</v>
      </c>
      <c r="I191" s="70" t="b">
        <v>0</v>
      </c>
      <c r="J191" s="70" t="b">
        <v>0</v>
      </c>
      <c r="K191" s="79" t="b">
        <v>0</v>
      </c>
      <c r="L191" s="70" t="b">
        <v>0</v>
      </c>
      <c r="M191" s="70" t="b">
        <v>0</v>
      </c>
      <c r="N191" s="1"/>
    </row>
    <row r="192" spans="1:14" ht="22.5" customHeight="1">
      <c r="A192" s="1"/>
      <c r="B192" s="1" t="e">
        <f t="array" aca="1" ref="B192" ca="1">_xludf.XLOOKUP(A192, 도서_정보[ID], 도서_정보[도서명], "")</f>
        <v>#NAME?</v>
      </c>
      <c r="C192" s="1" t="e">
        <f t="array" aca="1" ref="C192" ca="1">_xludf.XLOOKUP(A192, 도서_정보[ID], 도서_정보[작업 페이지], "")</f>
        <v>#NAME?</v>
      </c>
      <c r="D192" s="70" t="b">
        <v>0</v>
      </c>
      <c r="E192" s="70" t="b">
        <v>0</v>
      </c>
      <c r="F192" s="79" t="b">
        <v>0</v>
      </c>
      <c r="G192" s="70" t="b">
        <v>0</v>
      </c>
      <c r="H192" s="70" t="b">
        <v>0</v>
      </c>
      <c r="I192" s="70" t="b">
        <v>0</v>
      </c>
      <c r="J192" s="70" t="b">
        <v>0</v>
      </c>
      <c r="K192" s="79" t="b">
        <v>0</v>
      </c>
      <c r="L192" s="70" t="b">
        <v>0</v>
      </c>
      <c r="M192" s="70" t="b">
        <v>0</v>
      </c>
      <c r="N192" s="1"/>
    </row>
    <row r="193" spans="1:14" ht="22.5" customHeight="1">
      <c r="A193" s="1"/>
      <c r="B193" s="1" t="e">
        <f t="array" aca="1" ref="B193" ca="1">_xludf.XLOOKUP(A193, 도서_정보[ID], 도서_정보[도서명], "")</f>
        <v>#NAME?</v>
      </c>
      <c r="C193" s="1" t="e">
        <f t="array" aca="1" ref="C193" ca="1">_xludf.XLOOKUP(A193, 도서_정보[ID], 도서_정보[작업 페이지], "")</f>
        <v>#NAME?</v>
      </c>
      <c r="D193" s="70" t="b">
        <v>0</v>
      </c>
      <c r="E193" s="70" t="b">
        <v>0</v>
      </c>
      <c r="F193" s="79" t="b">
        <v>0</v>
      </c>
      <c r="G193" s="70" t="b">
        <v>0</v>
      </c>
      <c r="H193" s="70" t="b">
        <v>0</v>
      </c>
      <c r="I193" s="70" t="b">
        <v>0</v>
      </c>
      <c r="J193" s="70" t="b">
        <v>0</v>
      </c>
      <c r="K193" s="79" t="b">
        <v>0</v>
      </c>
      <c r="L193" s="70" t="b">
        <v>0</v>
      </c>
      <c r="M193" s="70" t="b">
        <v>0</v>
      </c>
      <c r="N193" s="1"/>
    </row>
    <row r="194" spans="1:14" ht="22.5" customHeight="1">
      <c r="A194" s="1"/>
      <c r="B194" s="1" t="e">
        <f t="array" aca="1" ref="B194" ca="1">_xludf.XLOOKUP(A194, 도서_정보[ID], 도서_정보[도서명], "")</f>
        <v>#NAME?</v>
      </c>
      <c r="C194" s="1" t="e">
        <f t="array" aca="1" ref="C194" ca="1">_xludf.XLOOKUP(A194, 도서_정보[ID], 도서_정보[작업 페이지], "")</f>
        <v>#NAME?</v>
      </c>
      <c r="D194" s="70" t="b">
        <v>0</v>
      </c>
      <c r="E194" s="70" t="b">
        <v>0</v>
      </c>
      <c r="F194" s="79" t="b">
        <v>0</v>
      </c>
      <c r="G194" s="70" t="b">
        <v>0</v>
      </c>
      <c r="H194" s="70" t="b">
        <v>0</v>
      </c>
      <c r="I194" s="70" t="b">
        <v>0</v>
      </c>
      <c r="J194" s="70" t="b">
        <v>0</v>
      </c>
      <c r="K194" s="79" t="b">
        <v>0</v>
      </c>
      <c r="L194" s="70" t="b">
        <v>0</v>
      </c>
      <c r="M194" s="70" t="b">
        <v>0</v>
      </c>
      <c r="N194" s="1"/>
    </row>
    <row r="195" spans="1:14" ht="22.5" customHeight="1">
      <c r="A195" s="1"/>
      <c r="B195" s="1" t="e">
        <f t="array" aca="1" ref="B195" ca="1">_xludf.XLOOKUP(A195, 도서_정보[ID], 도서_정보[도서명], "")</f>
        <v>#NAME?</v>
      </c>
      <c r="C195" s="1" t="e">
        <f t="array" aca="1" ref="C195" ca="1">_xludf.XLOOKUP(A195, 도서_정보[ID], 도서_정보[작업 페이지], "")</f>
        <v>#NAME?</v>
      </c>
      <c r="D195" s="70" t="b">
        <v>0</v>
      </c>
      <c r="E195" s="70" t="b">
        <v>0</v>
      </c>
      <c r="F195" s="79" t="b">
        <v>0</v>
      </c>
      <c r="G195" s="70" t="b">
        <v>0</v>
      </c>
      <c r="H195" s="70" t="b">
        <v>0</v>
      </c>
      <c r="I195" s="70" t="b">
        <v>0</v>
      </c>
      <c r="J195" s="70" t="b">
        <v>0</v>
      </c>
      <c r="K195" s="79" t="b">
        <v>0</v>
      </c>
      <c r="L195" s="70" t="b">
        <v>0</v>
      </c>
      <c r="M195" s="70" t="b">
        <v>0</v>
      </c>
      <c r="N195" s="1"/>
    </row>
    <row r="196" spans="1:14" ht="22.5" customHeight="1">
      <c r="A196" s="1"/>
      <c r="B196" s="1" t="e">
        <f t="array" aca="1" ref="B196" ca="1">_xludf.XLOOKUP(A196, 도서_정보[ID], 도서_정보[도서명], "")</f>
        <v>#NAME?</v>
      </c>
      <c r="C196" s="1" t="e">
        <f t="array" aca="1" ref="C196" ca="1">_xludf.XLOOKUP(A196, 도서_정보[ID], 도서_정보[작업 페이지], "")</f>
        <v>#NAME?</v>
      </c>
      <c r="D196" s="70" t="b">
        <v>0</v>
      </c>
      <c r="E196" s="70" t="b">
        <v>0</v>
      </c>
      <c r="F196" s="79" t="b">
        <v>0</v>
      </c>
      <c r="G196" s="70" t="b">
        <v>0</v>
      </c>
      <c r="H196" s="70" t="b">
        <v>0</v>
      </c>
      <c r="I196" s="70" t="b">
        <v>0</v>
      </c>
      <c r="J196" s="70" t="b">
        <v>0</v>
      </c>
      <c r="K196" s="79" t="b">
        <v>0</v>
      </c>
      <c r="L196" s="70" t="b">
        <v>0</v>
      </c>
      <c r="M196" s="70" t="b">
        <v>0</v>
      </c>
      <c r="N196" s="1"/>
    </row>
    <row r="197" spans="1:14" ht="22.5" customHeight="1">
      <c r="A197" s="1"/>
      <c r="B197" s="1" t="e">
        <f t="array" aca="1" ref="B197" ca="1">_xludf.XLOOKUP(A197, 도서_정보[ID], 도서_정보[도서명], "")</f>
        <v>#NAME?</v>
      </c>
      <c r="C197" s="1" t="e">
        <f t="array" aca="1" ref="C197" ca="1">_xludf.XLOOKUP(A197, 도서_정보[ID], 도서_정보[작업 페이지], "")</f>
        <v>#NAME?</v>
      </c>
      <c r="D197" s="70" t="b">
        <v>0</v>
      </c>
      <c r="E197" s="70" t="b">
        <v>0</v>
      </c>
      <c r="F197" s="79" t="b">
        <v>0</v>
      </c>
      <c r="G197" s="70" t="b">
        <v>0</v>
      </c>
      <c r="H197" s="70" t="b">
        <v>0</v>
      </c>
      <c r="I197" s="70" t="b">
        <v>0</v>
      </c>
      <c r="J197" s="70" t="b">
        <v>0</v>
      </c>
      <c r="K197" s="79" t="b">
        <v>0</v>
      </c>
      <c r="L197" s="70" t="b">
        <v>0</v>
      </c>
      <c r="M197" s="70" t="b">
        <v>0</v>
      </c>
      <c r="N197" s="1"/>
    </row>
    <row r="198" spans="1:14" ht="22.5" customHeight="1">
      <c r="A198" s="1"/>
      <c r="B198" s="1" t="e">
        <f t="array" aca="1" ref="B198" ca="1">_xludf.XLOOKUP(A198, 도서_정보[ID], 도서_정보[도서명], "")</f>
        <v>#NAME?</v>
      </c>
      <c r="C198" s="1" t="e">
        <f t="array" aca="1" ref="C198" ca="1">_xludf.XLOOKUP(A198, 도서_정보[ID], 도서_정보[작업 페이지], "")</f>
        <v>#NAME?</v>
      </c>
      <c r="D198" s="70" t="b">
        <v>0</v>
      </c>
      <c r="E198" s="70" t="b">
        <v>0</v>
      </c>
      <c r="F198" s="79" t="b">
        <v>0</v>
      </c>
      <c r="G198" s="70" t="b">
        <v>0</v>
      </c>
      <c r="H198" s="70" t="b">
        <v>0</v>
      </c>
      <c r="I198" s="70" t="b">
        <v>0</v>
      </c>
      <c r="J198" s="70" t="b">
        <v>0</v>
      </c>
      <c r="K198" s="79" t="b">
        <v>0</v>
      </c>
      <c r="L198" s="70" t="b">
        <v>0</v>
      </c>
      <c r="M198" s="70" t="b">
        <v>0</v>
      </c>
      <c r="N198" s="1"/>
    </row>
    <row r="199" spans="1:14" ht="22.5" customHeight="1">
      <c r="A199" s="1"/>
      <c r="B199" s="1" t="e">
        <f t="array" aca="1" ref="B199" ca="1">_xludf.XLOOKUP(A199, 도서_정보[ID], 도서_정보[도서명], "")</f>
        <v>#NAME?</v>
      </c>
      <c r="C199" s="1" t="e">
        <f t="array" aca="1" ref="C199" ca="1">_xludf.XLOOKUP(A199, 도서_정보[ID], 도서_정보[작업 페이지], "")</f>
        <v>#NAME?</v>
      </c>
      <c r="D199" s="70" t="b">
        <v>0</v>
      </c>
      <c r="E199" s="70" t="b">
        <v>0</v>
      </c>
      <c r="F199" s="79" t="b">
        <v>0</v>
      </c>
      <c r="G199" s="70" t="b">
        <v>0</v>
      </c>
      <c r="H199" s="70" t="b">
        <v>0</v>
      </c>
      <c r="I199" s="70" t="b">
        <v>0</v>
      </c>
      <c r="J199" s="70" t="b">
        <v>0</v>
      </c>
      <c r="K199" s="79" t="b">
        <v>0</v>
      </c>
      <c r="L199" s="70" t="b">
        <v>0</v>
      </c>
      <c r="M199" s="70" t="b">
        <v>0</v>
      </c>
      <c r="N199" s="1"/>
    </row>
    <row r="200" spans="1:14" ht="22.5" customHeight="1">
      <c r="A200" s="1"/>
      <c r="B200" s="1" t="e">
        <f t="array" aca="1" ref="B200" ca="1">_xludf.XLOOKUP(A200, 도서_정보[ID], 도서_정보[도서명], "")</f>
        <v>#NAME?</v>
      </c>
      <c r="C200" s="1" t="e">
        <f t="array" aca="1" ref="C200" ca="1">_xludf.XLOOKUP(A200, 도서_정보[ID], 도서_정보[작업 페이지], "")</f>
        <v>#NAME?</v>
      </c>
      <c r="D200" s="70" t="b">
        <v>0</v>
      </c>
      <c r="E200" s="70" t="b">
        <v>0</v>
      </c>
      <c r="F200" s="79" t="b">
        <v>0</v>
      </c>
      <c r="G200" s="70" t="b">
        <v>0</v>
      </c>
      <c r="H200" s="70" t="b">
        <v>0</v>
      </c>
      <c r="I200" s="70" t="b">
        <v>0</v>
      </c>
      <c r="J200" s="70" t="b">
        <v>0</v>
      </c>
      <c r="K200" s="79" t="b">
        <v>0</v>
      </c>
      <c r="L200" s="70" t="b">
        <v>0</v>
      </c>
      <c r="M200" s="70" t="b">
        <v>0</v>
      </c>
      <c r="N200" s="1"/>
    </row>
    <row r="201" spans="1:14" ht="22.5" customHeight="1">
      <c r="A201" s="1"/>
      <c r="B201" s="1" t="e">
        <f t="array" aca="1" ref="B201" ca="1">_xludf.XLOOKUP(A201, 도서_정보[ID], 도서_정보[도서명], "")</f>
        <v>#NAME?</v>
      </c>
      <c r="C201" s="1" t="e">
        <f t="array" aca="1" ref="C201" ca="1">_xludf.XLOOKUP(A201, 도서_정보[ID], 도서_정보[작업 페이지], "")</f>
        <v>#NAME?</v>
      </c>
      <c r="D201" s="70" t="b">
        <v>0</v>
      </c>
      <c r="E201" s="70" t="b">
        <v>0</v>
      </c>
      <c r="F201" s="79" t="b">
        <v>0</v>
      </c>
      <c r="G201" s="70" t="b">
        <v>0</v>
      </c>
      <c r="H201" s="70" t="b">
        <v>0</v>
      </c>
      <c r="I201" s="70" t="b">
        <v>0</v>
      </c>
      <c r="J201" s="70" t="b">
        <v>0</v>
      </c>
      <c r="K201" s="79" t="b">
        <v>0</v>
      </c>
      <c r="L201" s="70" t="b">
        <v>0</v>
      </c>
      <c r="M201" s="70" t="b">
        <v>0</v>
      </c>
      <c r="N201" s="1"/>
    </row>
    <row r="202" spans="1:14" ht="22.5" customHeight="1">
      <c r="A202" s="1"/>
      <c r="B202" s="1" t="e">
        <f t="array" aca="1" ref="B202" ca="1">_xludf.XLOOKUP(A202, 도서_정보[ID], 도서_정보[도서명], "")</f>
        <v>#NAME?</v>
      </c>
      <c r="C202" s="1" t="e">
        <f t="array" aca="1" ref="C202" ca="1">_xludf.XLOOKUP(A202, 도서_정보[ID], 도서_정보[작업 페이지], "")</f>
        <v>#NAME?</v>
      </c>
      <c r="D202" s="70" t="b">
        <v>0</v>
      </c>
      <c r="E202" s="70" t="b">
        <v>0</v>
      </c>
      <c r="F202" s="79" t="b">
        <v>0</v>
      </c>
      <c r="G202" s="70" t="b">
        <v>0</v>
      </c>
      <c r="H202" s="70" t="b">
        <v>0</v>
      </c>
      <c r="I202" s="70" t="b">
        <v>0</v>
      </c>
      <c r="J202" s="70" t="b">
        <v>0</v>
      </c>
      <c r="K202" s="79" t="b">
        <v>0</v>
      </c>
      <c r="L202" s="70" t="b">
        <v>0</v>
      </c>
      <c r="M202" s="70" t="b">
        <v>0</v>
      </c>
      <c r="N202" s="1"/>
    </row>
    <row r="203" spans="1:14" ht="22.5" customHeight="1">
      <c r="A203" s="1"/>
      <c r="B203" s="1" t="e">
        <f t="array" aca="1" ref="B203" ca="1">_xludf.XLOOKUP(A203, 도서_정보[ID], 도서_정보[도서명], "")</f>
        <v>#NAME?</v>
      </c>
      <c r="C203" s="1" t="e">
        <f t="array" aca="1" ref="C203" ca="1">_xludf.XLOOKUP(A203, 도서_정보[ID], 도서_정보[작업 페이지], "")</f>
        <v>#NAME?</v>
      </c>
      <c r="D203" s="70" t="b">
        <v>0</v>
      </c>
      <c r="E203" s="70" t="b">
        <v>0</v>
      </c>
      <c r="F203" s="79" t="b">
        <v>0</v>
      </c>
      <c r="G203" s="70" t="b">
        <v>0</v>
      </c>
      <c r="H203" s="70" t="b">
        <v>0</v>
      </c>
      <c r="I203" s="70" t="b">
        <v>0</v>
      </c>
      <c r="J203" s="70" t="b">
        <v>0</v>
      </c>
      <c r="K203" s="79" t="b">
        <v>0</v>
      </c>
      <c r="L203" s="70" t="b">
        <v>0</v>
      </c>
      <c r="M203" s="70" t="b">
        <v>0</v>
      </c>
      <c r="N203" s="1"/>
    </row>
    <row r="204" spans="1:14" ht="22.5" customHeight="1">
      <c r="A204" s="1"/>
      <c r="B204" s="1" t="e">
        <f t="array" aca="1" ref="B204" ca="1">_xludf.XLOOKUP(A204, 도서_정보[ID], 도서_정보[도서명], "")</f>
        <v>#NAME?</v>
      </c>
      <c r="C204" s="1" t="e">
        <f t="array" aca="1" ref="C204" ca="1">_xludf.XLOOKUP(A204, 도서_정보[ID], 도서_정보[작업 페이지], "")</f>
        <v>#NAME?</v>
      </c>
      <c r="D204" s="70" t="b">
        <v>0</v>
      </c>
      <c r="E204" s="70" t="b">
        <v>0</v>
      </c>
      <c r="F204" s="79" t="b">
        <v>0</v>
      </c>
      <c r="G204" s="70" t="b">
        <v>0</v>
      </c>
      <c r="H204" s="70" t="b">
        <v>0</v>
      </c>
      <c r="I204" s="70" t="b">
        <v>0</v>
      </c>
      <c r="J204" s="70" t="b">
        <v>0</v>
      </c>
      <c r="K204" s="79" t="b">
        <v>0</v>
      </c>
      <c r="L204" s="70" t="b">
        <v>0</v>
      </c>
      <c r="M204" s="70" t="b">
        <v>0</v>
      </c>
      <c r="N204" s="1"/>
    </row>
    <row r="205" spans="1:14" ht="22.5" customHeight="1">
      <c r="A205" s="1"/>
      <c r="B205" s="1" t="e">
        <f t="array" aca="1" ref="B205" ca="1">_xludf.XLOOKUP(A205, 도서_정보[ID], 도서_정보[도서명], "")</f>
        <v>#NAME?</v>
      </c>
      <c r="C205" s="1" t="e">
        <f t="array" aca="1" ref="C205" ca="1">_xludf.XLOOKUP(A205, 도서_정보[ID], 도서_정보[작업 페이지], "")</f>
        <v>#NAME?</v>
      </c>
      <c r="D205" s="70" t="b">
        <v>0</v>
      </c>
      <c r="E205" s="70" t="b">
        <v>0</v>
      </c>
      <c r="F205" s="79" t="b">
        <v>0</v>
      </c>
      <c r="G205" s="70" t="b">
        <v>0</v>
      </c>
      <c r="H205" s="70" t="b">
        <v>0</v>
      </c>
      <c r="I205" s="70" t="b">
        <v>0</v>
      </c>
      <c r="J205" s="70" t="b">
        <v>0</v>
      </c>
      <c r="K205" s="79" t="b">
        <v>0</v>
      </c>
      <c r="L205" s="70" t="b">
        <v>0</v>
      </c>
      <c r="M205" s="70" t="b">
        <v>0</v>
      </c>
      <c r="N205" s="1"/>
    </row>
    <row r="206" spans="1:14" ht="22.5" customHeight="1">
      <c r="A206" s="1"/>
      <c r="B206" s="1" t="e">
        <f t="array" aca="1" ref="B206" ca="1">_xludf.XLOOKUP(A206, 도서_정보[ID], 도서_정보[도서명], "")</f>
        <v>#NAME?</v>
      </c>
      <c r="C206" s="1" t="e">
        <f t="array" aca="1" ref="C206" ca="1">_xludf.XLOOKUP(A206, 도서_정보[ID], 도서_정보[작업 페이지], "")</f>
        <v>#NAME?</v>
      </c>
      <c r="D206" s="70" t="b">
        <v>0</v>
      </c>
      <c r="E206" s="70" t="b">
        <v>0</v>
      </c>
      <c r="F206" s="79" t="b">
        <v>0</v>
      </c>
      <c r="G206" s="70" t="b">
        <v>0</v>
      </c>
      <c r="H206" s="70" t="b">
        <v>0</v>
      </c>
      <c r="I206" s="70" t="b">
        <v>0</v>
      </c>
      <c r="J206" s="70" t="b">
        <v>0</v>
      </c>
      <c r="K206" s="79" t="b">
        <v>0</v>
      </c>
      <c r="L206" s="70" t="b">
        <v>0</v>
      </c>
      <c r="M206" s="70" t="b">
        <v>0</v>
      </c>
      <c r="N206" s="1"/>
    </row>
    <row r="207" spans="1:14" ht="22.5" customHeight="1">
      <c r="A207" s="1"/>
      <c r="B207" s="1" t="e">
        <f t="array" aca="1" ref="B207" ca="1">_xludf.XLOOKUP(A207, 도서_정보[ID], 도서_정보[도서명], "")</f>
        <v>#NAME?</v>
      </c>
      <c r="C207" s="1" t="e">
        <f t="array" aca="1" ref="C207" ca="1">_xludf.XLOOKUP(A207, 도서_정보[ID], 도서_정보[작업 페이지], "")</f>
        <v>#NAME?</v>
      </c>
      <c r="D207" s="70" t="b">
        <v>0</v>
      </c>
      <c r="E207" s="70" t="b">
        <v>0</v>
      </c>
      <c r="F207" s="79" t="b">
        <v>0</v>
      </c>
      <c r="G207" s="70" t="b">
        <v>0</v>
      </c>
      <c r="H207" s="70" t="b">
        <v>0</v>
      </c>
      <c r="I207" s="70" t="b">
        <v>0</v>
      </c>
      <c r="J207" s="70" t="b">
        <v>0</v>
      </c>
      <c r="K207" s="79" t="b">
        <v>0</v>
      </c>
      <c r="L207" s="70" t="b">
        <v>0</v>
      </c>
      <c r="M207" s="70" t="b">
        <v>0</v>
      </c>
      <c r="N207" s="1"/>
    </row>
    <row r="208" spans="1:14" ht="22.5" customHeight="1">
      <c r="A208" s="1"/>
      <c r="B208" s="1" t="e">
        <f t="array" aca="1" ref="B208" ca="1">_xludf.XLOOKUP(A208, 도서_정보[ID], 도서_정보[도서명], "")</f>
        <v>#NAME?</v>
      </c>
      <c r="C208" s="1" t="e">
        <f t="array" aca="1" ref="C208" ca="1">_xludf.XLOOKUP(A208, 도서_정보[ID], 도서_정보[작업 페이지], "")</f>
        <v>#NAME?</v>
      </c>
      <c r="D208" s="70" t="b">
        <v>0</v>
      </c>
      <c r="E208" s="70" t="b">
        <v>0</v>
      </c>
      <c r="F208" s="79" t="b">
        <v>0</v>
      </c>
      <c r="G208" s="70" t="b">
        <v>0</v>
      </c>
      <c r="H208" s="70" t="b">
        <v>0</v>
      </c>
      <c r="I208" s="70" t="b">
        <v>0</v>
      </c>
      <c r="J208" s="70" t="b">
        <v>0</v>
      </c>
      <c r="K208" s="79" t="b">
        <v>0</v>
      </c>
      <c r="L208" s="70" t="b">
        <v>0</v>
      </c>
      <c r="M208" s="70" t="b">
        <v>0</v>
      </c>
      <c r="N208" s="1"/>
    </row>
    <row r="209" spans="1:14" ht="22.5" customHeight="1">
      <c r="A209" s="1"/>
      <c r="B209" s="1" t="e">
        <f t="array" aca="1" ref="B209" ca="1">_xludf.XLOOKUP(A209, 도서_정보[ID], 도서_정보[도서명], "")</f>
        <v>#NAME?</v>
      </c>
      <c r="C209" s="1" t="e">
        <f t="array" aca="1" ref="C209" ca="1">_xludf.XLOOKUP(A209, 도서_정보[ID], 도서_정보[작업 페이지], "")</f>
        <v>#NAME?</v>
      </c>
      <c r="D209" s="70" t="b">
        <v>0</v>
      </c>
      <c r="E209" s="70" t="b">
        <v>0</v>
      </c>
      <c r="F209" s="79" t="b">
        <v>0</v>
      </c>
      <c r="G209" s="70" t="b">
        <v>0</v>
      </c>
      <c r="H209" s="70" t="b">
        <v>0</v>
      </c>
      <c r="I209" s="70" t="b">
        <v>0</v>
      </c>
      <c r="J209" s="70" t="b">
        <v>0</v>
      </c>
      <c r="K209" s="79" t="b">
        <v>0</v>
      </c>
      <c r="L209" s="70" t="b">
        <v>0</v>
      </c>
      <c r="M209" s="70" t="b">
        <v>0</v>
      </c>
      <c r="N209" s="1"/>
    </row>
    <row r="210" spans="1:14" ht="22.5" customHeight="1">
      <c r="A210" s="1"/>
      <c r="B210" s="1" t="e">
        <f t="array" aca="1" ref="B210" ca="1">_xludf.XLOOKUP(A210, 도서_정보[ID], 도서_정보[도서명], "")</f>
        <v>#NAME?</v>
      </c>
      <c r="C210" s="1" t="e">
        <f t="array" aca="1" ref="C210" ca="1">_xludf.XLOOKUP(A210, 도서_정보[ID], 도서_정보[작업 페이지], "")</f>
        <v>#NAME?</v>
      </c>
      <c r="D210" s="70" t="b">
        <v>0</v>
      </c>
      <c r="E210" s="70" t="b">
        <v>0</v>
      </c>
      <c r="F210" s="79" t="b">
        <v>0</v>
      </c>
      <c r="G210" s="70" t="b">
        <v>0</v>
      </c>
      <c r="H210" s="70" t="b">
        <v>0</v>
      </c>
      <c r="I210" s="70" t="b">
        <v>0</v>
      </c>
      <c r="J210" s="70" t="b">
        <v>0</v>
      </c>
      <c r="K210" s="79" t="b">
        <v>0</v>
      </c>
      <c r="L210" s="70" t="b">
        <v>0</v>
      </c>
      <c r="M210" s="70" t="b">
        <v>0</v>
      </c>
      <c r="N210" s="1"/>
    </row>
    <row r="211" spans="1:14" ht="22.5" customHeight="1">
      <c r="A211" s="1"/>
      <c r="B211" s="1" t="e">
        <f t="array" aca="1" ref="B211" ca="1">_xludf.XLOOKUP(A211, 도서_정보[ID], 도서_정보[도서명], "")</f>
        <v>#NAME?</v>
      </c>
      <c r="C211" s="1" t="e">
        <f t="array" aca="1" ref="C211" ca="1">_xludf.XLOOKUP(A211, 도서_정보[ID], 도서_정보[작업 페이지], "")</f>
        <v>#NAME?</v>
      </c>
      <c r="D211" s="70" t="b">
        <v>0</v>
      </c>
      <c r="E211" s="70" t="b">
        <v>0</v>
      </c>
      <c r="F211" s="79" t="b">
        <v>0</v>
      </c>
      <c r="G211" s="70" t="b">
        <v>0</v>
      </c>
      <c r="H211" s="70" t="b">
        <v>0</v>
      </c>
      <c r="I211" s="70" t="b">
        <v>0</v>
      </c>
      <c r="J211" s="70" t="b">
        <v>0</v>
      </c>
      <c r="K211" s="79" t="b">
        <v>0</v>
      </c>
      <c r="L211" s="70" t="b">
        <v>0</v>
      </c>
      <c r="M211" s="70" t="b">
        <v>0</v>
      </c>
      <c r="N211" s="1"/>
    </row>
    <row r="212" spans="1:14" ht="22.5" customHeight="1">
      <c r="A212" s="1"/>
      <c r="B212" s="1" t="e">
        <f t="array" aca="1" ref="B212" ca="1">_xludf.XLOOKUP(A212, 도서_정보[ID], 도서_정보[도서명], "")</f>
        <v>#NAME?</v>
      </c>
      <c r="C212" s="1" t="e">
        <f t="array" aca="1" ref="C212" ca="1">_xludf.XLOOKUP(A212, 도서_정보[ID], 도서_정보[작업 페이지], "")</f>
        <v>#NAME?</v>
      </c>
      <c r="D212" s="70" t="b">
        <v>0</v>
      </c>
      <c r="E212" s="70" t="b">
        <v>0</v>
      </c>
      <c r="F212" s="79" t="b">
        <v>0</v>
      </c>
      <c r="G212" s="70" t="b">
        <v>0</v>
      </c>
      <c r="H212" s="70" t="b">
        <v>0</v>
      </c>
      <c r="I212" s="70" t="b">
        <v>0</v>
      </c>
      <c r="J212" s="70" t="b">
        <v>0</v>
      </c>
      <c r="K212" s="79" t="b">
        <v>0</v>
      </c>
      <c r="L212" s="70" t="b">
        <v>0</v>
      </c>
      <c r="M212" s="70" t="b">
        <v>0</v>
      </c>
      <c r="N212" s="1"/>
    </row>
    <row r="213" spans="1:14" ht="22.5" customHeight="1">
      <c r="A213" s="1"/>
      <c r="B213" s="1" t="e">
        <f t="array" aca="1" ref="B213" ca="1">_xludf.XLOOKUP(A213, 도서_정보[ID], 도서_정보[도서명], "")</f>
        <v>#NAME?</v>
      </c>
      <c r="C213" s="1" t="e">
        <f t="array" aca="1" ref="C213" ca="1">_xludf.XLOOKUP(A213, 도서_정보[ID], 도서_정보[작업 페이지], "")</f>
        <v>#NAME?</v>
      </c>
      <c r="D213" s="70" t="b">
        <v>0</v>
      </c>
      <c r="E213" s="70" t="b">
        <v>0</v>
      </c>
      <c r="F213" s="79" t="b">
        <v>0</v>
      </c>
      <c r="G213" s="70" t="b">
        <v>0</v>
      </c>
      <c r="H213" s="70" t="b">
        <v>0</v>
      </c>
      <c r="I213" s="70" t="b">
        <v>0</v>
      </c>
      <c r="J213" s="70" t="b">
        <v>0</v>
      </c>
      <c r="K213" s="79" t="b">
        <v>0</v>
      </c>
      <c r="L213" s="70" t="b">
        <v>0</v>
      </c>
      <c r="M213" s="70" t="b">
        <v>0</v>
      </c>
      <c r="N213" s="1"/>
    </row>
    <row r="214" spans="1:14" ht="22.5" customHeight="1">
      <c r="A214" s="1"/>
      <c r="B214" s="1" t="e">
        <f t="array" aca="1" ref="B214" ca="1">_xludf.XLOOKUP(A214, 도서_정보[ID], 도서_정보[도서명], "")</f>
        <v>#NAME?</v>
      </c>
      <c r="C214" s="1" t="e">
        <f t="array" aca="1" ref="C214" ca="1">_xludf.XLOOKUP(A214, 도서_정보[ID], 도서_정보[작업 페이지], "")</f>
        <v>#NAME?</v>
      </c>
      <c r="D214" s="70" t="b">
        <v>0</v>
      </c>
      <c r="E214" s="70" t="b">
        <v>0</v>
      </c>
      <c r="F214" s="79" t="b">
        <v>0</v>
      </c>
      <c r="G214" s="70" t="b">
        <v>0</v>
      </c>
      <c r="H214" s="70" t="b">
        <v>0</v>
      </c>
      <c r="I214" s="70" t="b">
        <v>0</v>
      </c>
      <c r="J214" s="70" t="b">
        <v>0</v>
      </c>
      <c r="K214" s="79" t="b">
        <v>0</v>
      </c>
      <c r="L214" s="70" t="b">
        <v>0</v>
      </c>
      <c r="M214" s="70" t="b">
        <v>0</v>
      </c>
      <c r="N214" s="1"/>
    </row>
    <row r="215" spans="1:14" ht="22.5" customHeight="1">
      <c r="A215" s="1"/>
      <c r="B215" s="1" t="e">
        <f t="array" aca="1" ref="B215" ca="1">_xludf.XLOOKUP(A215, 도서_정보[ID], 도서_정보[도서명], "")</f>
        <v>#NAME?</v>
      </c>
      <c r="C215" s="1" t="e">
        <f t="array" aca="1" ref="C215" ca="1">_xludf.XLOOKUP(A215, 도서_정보[ID], 도서_정보[작업 페이지], "")</f>
        <v>#NAME?</v>
      </c>
      <c r="D215" s="70" t="b">
        <v>0</v>
      </c>
      <c r="E215" s="70" t="b">
        <v>0</v>
      </c>
      <c r="F215" s="79" t="b">
        <v>0</v>
      </c>
      <c r="G215" s="70" t="b">
        <v>0</v>
      </c>
      <c r="H215" s="70" t="b">
        <v>0</v>
      </c>
      <c r="I215" s="70" t="b">
        <v>0</v>
      </c>
      <c r="J215" s="70" t="b">
        <v>0</v>
      </c>
      <c r="K215" s="79" t="b">
        <v>0</v>
      </c>
      <c r="L215" s="70" t="b">
        <v>0</v>
      </c>
      <c r="M215" s="70" t="b">
        <v>0</v>
      </c>
      <c r="N215" s="1"/>
    </row>
    <row r="216" spans="1:14" ht="22.5" customHeight="1">
      <c r="A216" s="1"/>
      <c r="B216" s="1" t="e">
        <f t="array" aca="1" ref="B216" ca="1">_xludf.XLOOKUP(A216, 도서_정보[ID], 도서_정보[도서명], "")</f>
        <v>#NAME?</v>
      </c>
      <c r="C216" s="1" t="e">
        <f t="array" aca="1" ref="C216" ca="1">_xludf.XLOOKUP(A216, 도서_정보[ID], 도서_정보[작업 페이지], "")</f>
        <v>#NAME?</v>
      </c>
      <c r="D216" s="70" t="b">
        <v>0</v>
      </c>
      <c r="E216" s="70" t="b">
        <v>0</v>
      </c>
      <c r="F216" s="79" t="b">
        <v>0</v>
      </c>
      <c r="G216" s="70" t="b">
        <v>0</v>
      </c>
      <c r="H216" s="70" t="b">
        <v>0</v>
      </c>
      <c r="I216" s="70" t="b">
        <v>0</v>
      </c>
      <c r="J216" s="70" t="b">
        <v>0</v>
      </c>
      <c r="K216" s="79" t="b">
        <v>0</v>
      </c>
      <c r="L216" s="70" t="b">
        <v>0</v>
      </c>
      <c r="M216" s="70" t="b">
        <v>0</v>
      </c>
      <c r="N216" s="1"/>
    </row>
    <row r="217" spans="1:14" ht="22.5" customHeight="1">
      <c r="A217" s="1"/>
      <c r="B217" s="1" t="e">
        <f t="array" aca="1" ref="B217" ca="1">_xludf.XLOOKUP(A217, 도서_정보[ID], 도서_정보[도서명], "")</f>
        <v>#NAME?</v>
      </c>
      <c r="C217" s="1" t="e">
        <f t="array" aca="1" ref="C217" ca="1">_xludf.XLOOKUP(A217, 도서_정보[ID], 도서_정보[작업 페이지], "")</f>
        <v>#NAME?</v>
      </c>
      <c r="D217" s="70" t="b">
        <v>0</v>
      </c>
      <c r="E217" s="70" t="b">
        <v>0</v>
      </c>
      <c r="F217" s="79" t="b">
        <v>0</v>
      </c>
      <c r="G217" s="70" t="b">
        <v>0</v>
      </c>
      <c r="H217" s="70" t="b">
        <v>0</v>
      </c>
      <c r="I217" s="70" t="b">
        <v>0</v>
      </c>
      <c r="J217" s="70" t="b">
        <v>0</v>
      </c>
      <c r="K217" s="79" t="b">
        <v>0</v>
      </c>
      <c r="L217" s="70" t="b">
        <v>0</v>
      </c>
      <c r="M217" s="70" t="b">
        <v>0</v>
      </c>
      <c r="N217" s="1"/>
    </row>
    <row r="218" spans="1:14" ht="22.5" customHeight="1">
      <c r="A218" s="1"/>
      <c r="B218" s="1" t="e">
        <f t="array" aca="1" ref="B218" ca="1">_xludf.XLOOKUP(A218, 도서_정보[ID], 도서_정보[도서명], "")</f>
        <v>#NAME?</v>
      </c>
      <c r="C218" s="1" t="e">
        <f t="array" aca="1" ref="C218" ca="1">_xludf.XLOOKUP(A218, 도서_정보[ID], 도서_정보[작업 페이지], "")</f>
        <v>#NAME?</v>
      </c>
      <c r="D218" s="70" t="b">
        <v>0</v>
      </c>
      <c r="E218" s="70" t="b">
        <v>0</v>
      </c>
      <c r="F218" s="79" t="b">
        <v>0</v>
      </c>
      <c r="G218" s="70" t="b">
        <v>0</v>
      </c>
      <c r="H218" s="70" t="b">
        <v>0</v>
      </c>
      <c r="I218" s="70" t="b">
        <v>0</v>
      </c>
      <c r="J218" s="70" t="b">
        <v>0</v>
      </c>
      <c r="K218" s="79" t="b">
        <v>0</v>
      </c>
      <c r="L218" s="70" t="b">
        <v>0</v>
      </c>
      <c r="M218" s="70" t="b">
        <v>0</v>
      </c>
      <c r="N218" s="1"/>
    </row>
    <row r="219" spans="1:14" ht="22.5" customHeight="1">
      <c r="A219" s="1"/>
      <c r="B219" s="1" t="e">
        <f t="array" aca="1" ref="B219" ca="1">_xludf.XLOOKUP(A219, 도서_정보[ID], 도서_정보[도서명], "")</f>
        <v>#NAME?</v>
      </c>
      <c r="C219" s="1" t="e">
        <f t="array" aca="1" ref="C219" ca="1">_xludf.XLOOKUP(A219, 도서_정보[ID], 도서_정보[작업 페이지], "")</f>
        <v>#NAME?</v>
      </c>
      <c r="D219" s="70" t="b">
        <v>0</v>
      </c>
      <c r="E219" s="70" t="b">
        <v>0</v>
      </c>
      <c r="F219" s="79" t="b">
        <v>0</v>
      </c>
      <c r="G219" s="70" t="b">
        <v>0</v>
      </c>
      <c r="H219" s="70" t="b">
        <v>0</v>
      </c>
      <c r="I219" s="70" t="b">
        <v>0</v>
      </c>
      <c r="J219" s="70" t="b">
        <v>0</v>
      </c>
      <c r="K219" s="79" t="b">
        <v>0</v>
      </c>
      <c r="L219" s="70" t="b">
        <v>0</v>
      </c>
      <c r="M219" s="70" t="b">
        <v>0</v>
      </c>
      <c r="N219" s="1"/>
    </row>
    <row r="220" spans="1:14" ht="22.5" customHeight="1">
      <c r="A220" s="1"/>
      <c r="B220" s="1" t="e">
        <f t="array" aca="1" ref="B220" ca="1">_xludf.XLOOKUP(A220, 도서_정보[ID], 도서_정보[도서명], "")</f>
        <v>#NAME?</v>
      </c>
      <c r="C220" s="1" t="e">
        <f t="array" aca="1" ref="C220" ca="1">_xludf.XLOOKUP(A220, 도서_정보[ID], 도서_정보[작업 페이지], "")</f>
        <v>#NAME?</v>
      </c>
      <c r="D220" s="70" t="b">
        <v>0</v>
      </c>
      <c r="E220" s="70" t="b">
        <v>0</v>
      </c>
      <c r="F220" s="79" t="b">
        <v>0</v>
      </c>
      <c r="G220" s="70" t="b">
        <v>0</v>
      </c>
      <c r="H220" s="70" t="b">
        <v>0</v>
      </c>
      <c r="I220" s="70" t="b">
        <v>0</v>
      </c>
      <c r="J220" s="70" t="b">
        <v>0</v>
      </c>
      <c r="K220" s="79" t="b">
        <v>0</v>
      </c>
      <c r="L220" s="70" t="b">
        <v>0</v>
      </c>
      <c r="M220" s="70" t="b">
        <v>0</v>
      </c>
      <c r="N220" s="1"/>
    </row>
    <row r="221" spans="1:14" ht="22.5" customHeight="1">
      <c r="A221" s="1"/>
      <c r="B221" s="1" t="e">
        <f t="array" aca="1" ref="B221" ca="1">_xludf.XLOOKUP(A221, 도서_정보[ID], 도서_정보[도서명], "")</f>
        <v>#NAME?</v>
      </c>
      <c r="C221" s="1" t="e">
        <f t="array" aca="1" ref="C221" ca="1">_xludf.XLOOKUP(A221, 도서_정보[ID], 도서_정보[작업 페이지], "")</f>
        <v>#NAME?</v>
      </c>
      <c r="D221" s="70" t="b">
        <v>0</v>
      </c>
      <c r="E221" s="70" t="b">
        <v>0</v>
      </c>
      <c r="F221" s="79" t="b">
        <v>0</v>
      </c>
      <c r="G221" s="70" t="b">
        <v>0</v>
      </c>
      <c r="H221" s="70" t="b">
        <v>0</v>
      </c>
      <c r="I221" s="70" t="b">
        <v>0</v>
      </c>
      <c r="J221" s="70" t="b">
        <v>0</v>
      </c>
      <c r="K221" s="79" t="b">
        <v>0</v>
      </c>
      <c r="L221" s="70" t="b">
        <v>0</v>
      </c>
      <c r="M221" s="70" t="b">
        <v>0</v>
      </c>
      <c r="N221" s="1"/>
    </row>
    <row r="222" spans="1:14" ht="22.5" customHeight="1">
      <c r="A222" s="1"/>
      <c r="B222" s="1" t="e">
        <f t="array" aca="1" ref="B222" ca="1">_xludf.XLOOKUP(A222, 도서_정보[ID], 도서_정보[도서명], "")</f>
        <v>#NAME?</v>
      </c>
      <c r="C222" s="1" t="e">
        <f t="array" aca="1" ref="C222" ca="1">_xludf.XLOOKUP(A222, 도서_정보[ID], 도서_정보[작업 페이지], "")</f>
        <v>#NAME?</v>
      </c>
      <c r="D222" s="70" t="b">
        <v>0</v>
      </c>
      <c r="E222" s="70" t="b">
        <v>0</v>
      </c>
      <c r="F222" s="79" t="b">
        <v>0</v>
      </c>
      <c r="G222" s="70" t="b">
        <v>0</v>
      </c>
      <c r="H222" s="70" t="b">
        <v>0</v>
      </c>
      <c r="I222" s="70" t="b">
        <v>0</v>
      </c>
      <c r="J222" s="70" t="b">
        <v>0</v>
      </c>
      <c r="K222" s="79" t="b">
        <v>0</v>
      </c>
      <c r="L222" s="70" t="b">
        <v>0</v>
      </c>
      <c r="M222" s="70" t="b">
        <v>0</v>
      </c>
      <c r="N222" s="1"/>
    </row>
    <row r="223" spans="1:14" ht="22.5" customHeight="1">
      <c r="A223" s="1"/>
      <c r="B223" s="1" t="e">
        <f t="array" aca="1" ref="B223" ca="1">_xludf.XLOOKUP(A223, 도서_정보[ID], 도서_정보[도서명], "")</f>
        <v>#NAME?</v>
      </c>
      <c r="C223" s="1" t="e">
        <f t="array" aca="1" ref="C223" ca="1">_xludf.XLOOKUP(A223, 도서_정보[ID], 도서_정보[작업 페이지], "")</f>
        <v>#NAME?</v>
      </c>
      <c r="D223" s="70" t="b">
        <v>0</v>
      </c>
      <c r="E223" s="70" t="b">
        <v>0</v>
      </c>
      <c r="F223" s="79" t="b">
        <v>0</v>
      </c>
      <c r="G223" s="70" t="b">
        <v>0</v>
      </c>
      <c r="H223" s="70" t="b">
        <v>0</v>
      </c>
      <c r="I223" s="70" t="b">
        <v>0</v>
      </c>
      <c r="J223" s="70" t="b">
        <v>0</v>
      </c>
      <c r="K223" s="79" t="b">
        <v>0</v>
      </c>
      <c r="L223" s="70" t="b">
        <v>0</v>
      </c>
      <c r="M223" s="70" t="b">
        <v>0</v>
      </c>
      <c r="N223" s="1"/>
    </row>
    <row r="224" spans="1:14" ht="22.5" customHeight="1">
      <c r="A224" s="1"/>
      <c r="B224" s="1" t="e">
        <f t="array" aca="1" ref="B224" ca="1">_xludf.XLOOKUP(A224, 도서_정보[ID], 도서_정보[도서명], "")</f>
        <v>#NAME?</v>
      </c>
      <c r="C224" s="1" t="e">
        <f t="array" aca="1" ref="C224" ca="1">_xludf.XLOOKUP(A224, 도서_정보[ID], 도서_정보[작업 페이지], "")</f>
        <v>#NAME?</v>
      </c>
      <c r="D224" s="70" t="b">
        <v>0</v>
      </c>
      <c r="E224" s="70" t="b">
        <v>0</v>
      </c>
      <c r="F224" s="79" t="b">
        <v>0</v>
      </c>
      <c r="G224" s="70" t="b">
        <v>0</v>
      </c>
      <c r="H224" s="70" t="b">
        <v>0</v>
      </c>
      <c r="I224" s="70" t="b">
        <v>0</v>
      </c>
      <c r="J224" s="70" t="b">
        <v>0</v>
      </c>
      <c r="K224" s="79" t="b">
        <v>0</v>
      </c>
      <c r="L224" s="70" t="b">
        <v>0</v>
      </c>
      <c r="M224" s="70" t="b">
        <v>0</v>
      </c>
      <c r="N224" s="1"/>
    </row>
    <row r="225" spans="1:14" ht="22.5" customHeight="1">
      <c r="A225" s="1"/>
      <c r="B225" s="1" t="e">
        <f t="array" aca="1" ref="B225" ca="1">_xludf.XLOOKUP(A225, 도서_정보[ID], 도서_정보[도서명], "")</f>
        <v>#NAME?</v>
      </c>
      <c r="C225" s="1" t="e">
        <f t="array" aca="1" ref="C225" ca="1">_xludf.XLOOKUP(A225, 도서_정보[ID], 도서_정보[작업 페이지], "")</f>
        <v>#NAME?</v>
      </c>
      <c r="D225" s="70" t="b">
        <v>0</v>
      </c>
      <c r="E225" s="70" t="b">
        <v>0</v>
      </c>
      <c r="F225" s="79" t="b">
        <v>0</v>
      </c>
      <c r="G225" s="70" t="b">
        <v>0</v>
      </c>
      <c r="H225" s="70" t="b">
        <v>0</v>
      </c>
      <c r="I225" s="70" t="b">
        <v>0</v>
      </c>
      <c r="J225" s="70" t="b">
        <v>0</v>
      </c>
      <c r="K225" s="79" t="b">
        <v>0</v>
      </c>
      <c r="L225" s="70" t="b">
        <v>0</v>
      </c>
      <c r="M225" s="70" t="b">
        <v>0</v>
      </c>
      <c r="N225" s="1"/>
    </row>
    <row r="226" spans="1:14" ht="22.5" customHeight="1">
      <c r="A226" s="1"/>
      <c r="B226" s="1" t="e">
        <f t="array" aca="1" ref="B226" ca="1">_xludf.XLOOKUP(A226, 도서_정보[ID], 도서_정보[도서명], "")</f>
        <v>#NAME?</v>
      </c>
      <c r="C226" s="1" t="e">
        <f t="array" aca="1" ref="C226" ca="1">_xludf.XLOOKUP(A226, 도서_정보[ID], 도서_정보[작업 페이지], "")</f>
        <v>#NAME?</v>
      </c>
      <c r="D226" s="70" t="b">
        <v>0</v>
      </c>
      <c r="E226" s="70" t="b">
        <v>0</v>
      </c>
      <c r="F226" s="79" t="b">
        <v>0</v>
      </c>
      <c r="G226" s="70" t="b">
        <v>0</v>
      </c>
      <c r="H226" s="70" t="b">
        <v>0</v>
      </c>
      <c r="I226" s="70" t="b">
        <v>0</v>
      </c>
      <c r="J226" s="70" t="b">
        <v>0</v>
      </c>
      <c r="K226" s="79" t="b">
        <v>0</v>
      </c>
      <c r="L226" s="70" t="b">
        <v>0</v>
      </c>
      <c r="M226" s="70" t="b">
        <v>0</v>
      </c>
      <c r="N226" s="1"/>
    </row>
    <row r="227" spans="1:14" ht="22.5" customHeight="1">
      <c r="A227" s="1"/>
      <c r="B227" s="1" t="e">
        <f t="array" aca="1" ref="B227" ca="1">_xludf.XLOOKUP(A227, 도서_정보[ID], 도서_정보[도서명], "")</f>
        <v>#NAME?</v>
      </c>
      <c r="C227" s="1" t="e">
        <f t="array" aca="1" ref="C227" ca="1">_xludf.XLOOKUP(A227, 도서_정보[ID], 도서_정보[작업 페이지], "")</f>
        <v>#NAME?</v>
      </c>
      <c r="D227" s="70" t="b">
        <v>0</v>
      </c>
      <c r="E227" s="70" t="b">
        <v>0</v>
      </c>
      <c r="F227" s="79" t="b">
        <v>0</v>
      </c>
      <c r="G227" s="70" t="b">
        <v>0</v>
      </c>
      <c r="H227" s="70" t="b">
        <v>0</v>
      </c>
      <c r="I227" s="70" t="b">
        <v>0</v>
      </c>
      <c r="J227" s="70" t="b">
        <v>0</v>
      </c>
      <c r="K227" s="79" t="b">
        <v>0</v>
      </c>
      <c r="L227" s="70" t="b">
        <v>0</v>
      </c>
      <c r="M227" s="70" t="b">
        <v>0</v>
      </c>
      <c r="N227" s="1"/>
    </row>
    <row r="228" spans="1:14" ht="22.5" customHeight="1">
      <c r="A228" s="1"/>
      <c r="B228" s="1" t="e">
        <f t="array" aca="1" ref="B228" ca="1">_xludf.XLOOKUP(A228, 도서_정보[ID], 도서_정보[도서명], "")</f>
        <v>#NAME?</v>
      </c>
      <c r="C228" s="1" t="e">
        <f t="array" aca="1" ref="C228" ca="1">_xludf.XLOOKUP(A228, 도서_정보[ID], 도서_정보[작업 페이지], "")</f>
        <v>#NAME?</v>
      </c>
      <c r="D228" s="70" t="b">
        <v>0</v>
      </c>
      <c r="E228" s="70" t="b">
        <v>0</v>
      </c>
      <c r="F228" s="79" t="b">
        <v>0</v>
      </c>
      <c r="G228" s="70" t="b">
        <v>0</v>
      </c>
      <c r="H228" s="70" t="b">
        <v>0</v>
      </c>
      <c r="I228" s="70" t="b">
        <v>0</v>
      </c>
      <c r="J228" s="70" t="b">
        <v>0</v>
      </c>
      <c r="K228" s="79" t="b">
        <v>0</v>
      </c>
      <c r="L228" s="70" t="b">
        <v>0</v>
      </c>
      <c r="M228" s="70" t="b">
        <v>0</v>
      </c>
      <c r="N228" s="1"/>
    </row>
    <row r="229" spans="1:14" ht="22.5" customHeight="1">
      <c r="A229" s="1"/>
      <c r="B229" s="1" t="e">
        <f t="array" aca="1" ref="B229" ca="1">_xludf.XLOOKUP(A229, 도서_정보[ID], 도서_정보[도서명], "")</f>
        <v>#NAME?</v>
      </c>
      <c r="C229" s="1" t="e">
        <f t="array" aca="1" ref="C229" ca="1">_xludf.XLOOKUP(A229, 도서_정보[ID], 도서_정보[작업 페이지], "")</f>
        <v>#NAME?</v>
      </c>
      <c r="D229" s="70" t="b">
        <v>0</v>
      </c>
      <c r="E229" s="70" t="b">
        <v>0</v>
      </c>
      <c r="F229" s="79" t="b">
        <v>0</v>
      </c>
      <c r="G229" s="70" t="b">
        <v>0</v>
      </c>
      <c r="H229" s="70" t="b">
        <v>0</v>
      </c>
      <c r="I229" s="70" t="b">
        <v>0</v>
      </c>
      <c r="J229" s="70" t="b">
        <v>0</v>
      </c>
      <c r="K229" s="79" t="b">
        <v>0</v>
      </c>
      <c r="L229" s="70" t="b">
        <v>0</v>
      </c>
      <c r="M229" s="70" t="b">
        <v>0</v>
      </c>
      <c r="N229" s="1"/>
    </row>
    <row r="230" spans="1:14" ht="22.5" customHeight="1">
      <c r="A230" s="1"/>
      <c r="B230" s="1" t="e">
        <f t="array" aca="1" ref="B230" ca="1">_xludf.XLOOKUP(A230, 도서_정보[ID], 도서_정보[도서명], "")</f>
        <v>#NAME?</v>
      </c>
      <c r="C230" s="1" t="e">
        <f t="array" aca="1" ref="C230" ca="1">_xludf.XLOOKUP(A230, 도서_정보[ID], 도서_정보[작업 페이지], "")</f>
        <v>#NAME?</v>
      </c>
      <c r="D230" s="70" t="b">
        <v>0</v>
      </c>
      <c r="E230" s="70" t="b">
        <v>0</v>
      </c>
      <c r="F230" s="79" t="b">
        <v>0</v>
      </c>
      <c r="G230" s="70" t="b">
        <v>0</v>
      </c>
      <c r="H230" s="70" t="b">
        <v>0</v>
      </c>
      <c r="I230" s="70" t="b">
        <v>0</v>
      </c>
      <c r="J230" s="70" t="b">
        <v>0</v>
      </c>
      <c r="K230" s="79" t="b">
        <v>0</v>
      </c>
      <c r="L230" s="70" t="b">
        <v>0</v>
      </c>
      <c r="M230" s="70" t="b">
        <v>0</v>
      </c>
      <c r="N230" s="1"/>
    </row>
    <row r="231" spans="1:14" ht="22.5" customHeight="1">
      <c r="A231" s="1"/>
      <c r="B231" s="1" t="e">
        <f t="array" aca="1" ref="B231" ca="1">_xludf.XLOOKUP(A231, 도서_정보[ID], 도서_정보[도서명], "")</f>
        <v>#NAME?</v>
      </c>
      <c r="C231" s="1" t="e">
        <f t="array" aca="1" ref="C231" ca="1">_xludf.XLOOKUP(A231, 도서_정보[ID], 도서_정보[작업 페이지], "")</f>
        <v>#NAME?</v>
      </c>
      <c r="D231" s="70" t="b">
        <v>0</v>
      </c>
      <c r="E231" s="70" t="b">
        <v>0</v>
      </c>
      <c r="F231" s="79" t="b">
        <v>0</v>
      </c>
      <c r="G231" s="70" t="b">
        <v>0</v>
      </c>
      <c r="H231" s="70" t="b">
        <v>0</v>
      </c>
      <c r="I231" s="70" t="b">
        <v>0</v>
      </c>
      <c r="J231" s="70" t="b">
        <v>0</v>
      </c>
      <c r="K231" s="79" t="b">
        <v>0</v>
      </c>
      <c r="L231" s="70" t="b">
        <v>0</v>
      </c>
      <c r="M231" s="70" t="b">
        <v>0</v>
      </c>
      <c r="N231" s="1"/>
    </row>
    <row r="232" spans="1:14" ht="22.5" customHeight="1">
      <c r="A232" s="1"/>
      <c r="B232" s="1" t="e">
        <f t="array" aca="1" ref="B232" ca="1">_xludf.XLOOKUP(A232, 도서_정보[ID], 도서_정보[도서명], "")</f>
        <v>#NAME?</v>
      </c>
      <c r="C232" s="1" t="e">
        <f t="array" aca="1" ref="C232" ca="1">_xludf.XLOOKUP(A232, 도서_정보[ID], 도서_정보[작업 페이지], "")</f>
        <v>#NAME?</v>
      </c>
      <c r="D232" s="70" t="b">
        <v>0</v>
      </c>
      <c r="E232" s="70" t="b">
        <v>0</v>
      </c>
      <c r="F232" s="79" t="b">
        <v>0</v>
      </c>
      <c r="G232" s="70" t="b">
        <v>0</v>
      </c>
      <c r="H232" s="70" t="b">
        <v>0</v>
      </c>
      <c r="I232" s="70" t="b">
        <v>0</v>
      </c>
      <c r="J232" s="70" t="b">
        <v>0</v>
      </c>
      <c r="K232" s="79" t="b">
        <v>0</v>
      </c>
      <c r="L232" s="70" t="b">
        <v>0</v>
      </c>
      <c r="M232" s="70" t="b">
        <v>0</v>
      </c>
      <c r="N232" s="1"/>
    </row>
    <row r="233" spans="1:14" ht="22.5" customHeight="1">
      <c r="A233" s="1"/>
      <c r="B233" s="1" t="e">
        <f t="array" aca="1" ref="B233" ca="1">_xludf.XLOOKUP(A233, 도서_정보[ID], 도서_정보[도서명], "")</f>
        <v>#NAME?</v>
      </c>
      <c r="C233" s="1" t="e">
        <f t="array" aca="1" ref="C233" ca="1">_xludf.XLOOKUP(A233, 도서_정보[ID], 도서_정보[작업 페이지], "")</f>
        <v>#NAME?</v>
      </c>
      <c r="D233" s="70" t="b">
        <v>0</v>
      </c>
      <c r="E233" s="70" t="b">
        <v>0</v>
      </c>
      <c r="F233" s="79" t="b">
        <v>0</v>
      </c>
      <c r="G233" s="70" t="b">
        <v>0</v>
      </c>
      <c r="H233" s="70" t="b">
        <v>0</v>
      </c>
      <c r="I233" s="70" t="b">
        <v>0</v>
      </c>
      <c r="J233" s="70" t="b">
        <v>0</v>
      </c>
      <c r="K233" s="79" t="b">
        <v>0</v>
      </c>
      <c r="L233" s="70" t="b">
        <v>0</v>
      </c>
      <c r="M233" s="70" t="b">
        <v>0</v>
      </c>
      <c r="N233" s="1"/>
    </row>
    <row r="234" spans="1:14" ht="22.5" customHeight="1">
      <c r="A234" s="1"/>
      <c r="B234" s="1" t="e">
        <f t="array" aca="1" ref="B234" ca="1">_xludf.XLOOKUP(A234, 도서_정보[ID], 도서_정보[도서명], "")</f>
        <v>#NAME?</v>
      </c>
      <c r="C234" s="1" t="e">
        <f t="array" aca="1" ref="C234" ca="1">_xludf.XLOOKUP(A234, 도서_정보[ID], 도서_정보[작업 페이지], "")</f>
        <v>#NAME?</v>
      </c>
      <c r="D234" s="70" t="b">
        <v>0</v>
      </c>
      <c r="E234" s="70" t="b">
        <v>0</v>
      </c>
      <c r="F234" s="79" t="b">
        <v>0</v>
      </c>
      <c r="G234" s="70" t="b">
        <v>0</v>
      </c>
      <c r="H234" s="70" t="b">
        <v>0</v>
      </c>
      <c r="I234" s="70" t="b">
        <v>0</v>
      </c>
      <c r="J234" s="70" t="b">
        <v>0</v>
      </c>
      <c r="K234" s="79" t="b">
        <v>0</v>
      </c>
      <c r="L234" s="70" t="b">
        <v>0</v>
      </c>
      <c r="M234" s="70" t="b">
        <v>0</v>
      </c>
      <c r="N234" s="1"/>
    </row>
    <row r="235" spans="1:14" ht="22.5" customHeight="1">
      <c r="A235" s="1"/>
      <c r="B235" s="1" t="e">
        <f t="array" aca="1" ref="B235" ca="1">_xludf.XLOOKUP(A235, 도서_정보[ID], 도서_정보[도서명], "")</f>
        <v>#NAME?</v>
      </c>
      <c r="C235" s="1" t="e">
        <f t="array" aca="1" ref="C235" ca="1">_xludf.XLOOKUP(A235, 도서_정보[ID], 도서_정보[작업 페이지], "")</f>
        <v>#NAME?</v>
      </c>
      <c r="D235" s="70" t="b">
        <v>0</v>
      </c>
      <c r="E235" s="70" t="b">
        <v>0</v>
      </c>
      <c r="F235" s="79" t="b">
        <v>0</v>
      </c>
      <c r="G235" s="70" t="b">
        <v>0</v>
      </c>
      <c r="H235" s="70" t="b">
        <v>0</v>
      </c>
      <c r="I235" s="70" t="b">
        <v>0</v>
      </c>
      <c r="J235" s="70" t="b">
        <v>0</v>
      </c>
      <c r="K235" s="79" t="b">
        <v>0</v>
      </c>
      <c r="L235" s="70" t="b">
        <v>0</v>
      </c>
      <c r="M235" s="70" t="b">
        <v>0</v>
      </c>
      <c r="N235" s="1"/>
    </row>
    <row r="236" spans="1:14" ht="22.5" customHeight="1">
      <c r="A236" s="1"/>
      <c r="B236" s="1" t="e">
        <f t="array" aca="1" ref="B236" ca="1">_xludf.XLOOKUP(A236, 도서_정보[ID], 도서_정보[도서명], "")</f>
        <v>#NAME?</v>
      </c>
      <c r="C236" s="1" t="e">
        <f t="array" aca="1" ref="C236" ca="1">_xludf.XLOOKUP(A236, 도서_정보[ID], 도서_정보[작업 페이지], "")</f>
        <v>#NAME?</v>
      </c>
      <c r="D236" s="70" t="b">
        <v>0</v>
      </c>
      <c r="E236" s="70" t="b">
        <v>0</v>
      </c>
      <c r="F236" s="79" t="b">
        <v>0</v>
      </c>
      <c r="G236" s="70" t="b">
        <v>0</v>
      </c>
      <c r="H236" s="70" t="b">
        <v>0</v>
      </c>
      <c r="I236" s="70" t="b">
        <v>0</v>
      </c>
      <c r="J236" s="70" t="b">
        <v>0</v>
      </c>
      <c r="K236" s="79" t="b">
        <v>0</v>
      </c>
      <c r="L236" s="70" t="b">
        <v>0</v>
      </c>
      <c r="M236" s="70" t="b">
        <v>0</v>
      </c>
      <c r="N236" s="1"/>
    </row>
    <row r="237" spans="1:14" ht="22.5" customHeight="1">
      <c r="A237" s="1"/>
      <c r="B237" s="1" t="e">
        <f t="array" aca="1" ref="B237" ca="1">_xludf.XLOOKUP(A237, 도서_정보[ID], 도서_정보[도서명], "")</f>
        <v>#NAME?</v>
      </c>
      <c r="C237" s="1" t="e">
        <f t="array" aca="1" ref="C237" ca="1">_xludf.XLOOKUP(A237, 도서_정보[ID], 도서_정보[작업 페이지], "")</f>
        <v>#NAME?</v>
      </c>
      <c r="D237" s="70" t="b">
        <v>0</v>
      </c>
      <c r="E237" s="70" t="b">
        <v>0</v>
      </c>
      <c r="F237" s="79" t="b">
        <v>0</v>
      </c>
      <c r="G237" s="70" t="b">
        <v>0</v>
      </c>
      <c r="H237" s="70" t="b">
        <v>0</v>
      </c>
      <c r="I237" s="70" t="b">
        <v>0</v>
      </c>
      <c r="J237" s="70" t="b">
        <v>0</v>
      </c>
      <c r="K237" s="79" t="b">
        <v>0</v>
      </c>
      <c r="L237" s="70" t="b">
        <v>0</v>
      </c>
      <c r="M237" s="70" t="b">
        <v>0</v>
      </c>
      <c r="N237" s="1"/>
    </row>
    <row r="238" spans="1:14" ht="22.5" customHeight="1">
      <c r="A238" s="1"/>
      <c r="B238" s="1" t="e">
        <f t="array" aca="1" ref="B238" ca="1">_xludf.XLOOKUP(A238, 도서_정보[ID], 도서_정보[도서명], "")</f>
        <v>#NAME?</v>
      </c>
      <c r="C238" s="1" t="e">
        <f t="array" aca="1" ref="C238" ca="1">_xludf.XLOOKUP(A238, 도서_정보[ID], 도서_정보[작업 페이지], "")</f>
        <v>#NAME?</v>
      </c>
      <c r="D238" s="70" t="b">
        <v>0</v>
      </c>
      <c r="E238" s="70" t="b">
        <v>0</v>
      </c>
      <c r="F238" s="79" t="b">
        <v>0</v>
      </c>
      <c r="G238" s="70" t="b">
        <v>0</v>
      </c>
      <c r="H238" s="70" t="b">
        <v>0</v>
      </c>
      <c r="I238" s="70" t="b">
        <v>0</v>
      </c>
      <c r="J238" s="70" t="b">
        <v>0</v>
      </c>
      <c r="K238" s="79" t="b">
        <v>0</v>
      </c>
      <c r="L238" s="70" t="b">
        <v>0</v>
      </c>
      <c r="M238" s="70" t="b">
        <v>0</v>
      </c>
      <c r="N238" s="1"/>
    </row>
    <row r="239" spans="1:14" ht="22.5" customHeight="1">
      <c r="A239" s="1"/>
      <c r="B239" s="1" t="e">
        <f t="array" aca="1" ref="B239" ca="1">_xludf.XLOOKUP(A239, 도서_정보[ID], 도서_정보[도서명], "")</f>
        <v>#NAME?</v>
      </c>
      <c r="C239" s="1" t="e">
        <f t="array" aca="1" ref="C239" ca="1">_xludf.XLOOKUP(A239, 도서_정보[ID], 도서_정보[작업 페이지], "")</f>
        <v>#NAME?</v>
      </c>
      <c r="D239" s="70" t="b">
        <v>0</v>
      </c>
      <c r="E239" s="70" t="b">
        <v>0</v>
      </c>
      <c r="F239" s="79" t="b">
        <v>0</v>
      </c>
      <c r="G239" s="70" t="b">
        <v>0</v>
      </c>
      <c r="H239" s="70" t="b">
        <v>0</v>
      </c>
      <c r="I239" s="70" t="b">
        <v>0</v>
      </c>
      <c r="J239" s="70" t="b">
        <v>0</v>
      </c>
      <c r="K239" s="79" t="b">
        <v>0</v>
      </c>
      <c r="L239" s="70" t="b">
        <v>0</v>
      </c>
      <c r="M239" s="70" t="b">
        <v>0</v>
      </c>
      <c r="N239" s="1"/>
    </row>
    <row r="240" spans="1:14" ht="22.5" customHeight="1">
      <c r="A240" s="1"/>
      <c r="B240" s="1" t="e">
        <f t="array" aca="1" ref="B240" ca="1">_xludf.XLOOKUP(A240, 도서_정보[ID], 도서_정보[도서명], "")</f>
        <v>#NAME?</v>
      </c>
      <c r="C240" s="1" t="e">
        <f t="array" aca="1" ref="C240" ca="1">_xludf.XLOOKUP(A240, 도서_정보[ID], 도서_정보[작업 페이지], "")</f>
        <v>#NAME?</v>
      </c>
      <c r="D240" s="70" t="b">
        <v>0</v>
      </c>
      <c r="E240" s="70" t="b">
        <v>0</v>
      </c>
      <c r="F240" s="79" t="b">
        <v>0</v>
      </c>
      <c r="G240" s="70" t="b">
        <v>0</v>
      </c>
      <c r="H240" s="70" t="b">
        <v>0</v>
      </c>
      <c r="I240" s="70" t="b">
        <v>0</v>
      </c>
      <c r="J240" s="70" t="b">
        <v>0</v>
      </c>
      <c r="K240" s="79" t="b">
        <v>0</v>
      </c>
      <c r="L240" s="70" t="b">
        <v>0</v>
      </c>
      <c r="M240" s="70" t="b">
        <v>0</v>
      </c>
      <c r="N240" s="1"/>
    </row>
    <row r="241" spans="1:14" ht="22.5" customHeight="1">
      <c r="A241" s="1"/>
      <c r="B241" s="1" t="e">
        <f t="array" aca="1" ref="B241" ca="1">_xludf.XLOOKUP(A241, 도서_정보[ID], 도서_정보[도서명], "")</f>
        <v>#NAME?</v>
      </c>
      <c r="C241" s="1" t="e">
        <f t="array" aca="1" ref="C241" ca="1">_xludf.XLOOKUP(A241, 도서_정보[ID], 도서_정보[작업 페이지], "")</f>
        <v>#NAME?</v>
      </c>
      <c r="D241" s="70" t="b">
        <v>0</v>
      </c>
      <c r="E241" s="70" t="b">
        <v>0</v>
      </c>
      <c r="F241" s="79" t="b">
        <v>0</v>
      </c>
      <c r="G241" s="70" t="b">
        <v>0</v>
      </c>
      <c r="H241" s="70" t="b">
        <v>0</v>
      </c>
      <c r="I241" s="70" t="b">
        <v>0</v>
      </c>
      <c r="J241" s="70" t="b">
        <v>0</v>
      </c>
      <c r="K241" s="79" t="b">
        <v>0</v>
      </c>
      <c r="L241" s="70" t="b">
        <v>0</v>
      </c>
      <c r="M241" s="70" t="b">
        <v>0</v>
      </c>
      <c r="N241" s="1"/>
    </row>
    <row r="242" spans="1:14" ht="22.5" customHeight="1">
      <c r="A242" s="1"/>
      <c r="B242" s="1" t="e">
        <f t="array" aca="1" ref="B242" ca="1">_xludf.XLOOKUP(A242, 도서_정보[ID], 도서_정보[도서명], "")</f>
        <v>#NAME?</v>
      </c>
      <c r="C242" s="1" t="e">
        <f t="array" aca="1" ref="C242" ca="1">_xludf.XLOOKUP(A242, 도서_정보[ID], 도서_정보[작업 페이지], "")</f>
        <v>#NAME?</v>
      </c>
      <c r="D242" s="70" t="b">
        <v>0</v>
      </c>
      <c r="E242" s="70" t="b">
        <v>0</v>
      </c>
      <c r="F242" s="79" t="b">
        <v>0</v>
      </c>
      <c r="G242" s="70" t="b">
        <v>0</v>
      </c>
      <c r="H242" s="70" t="b">
        <v>0</v>
      </c>
      <c r="I242" s="70" t="b">
        <v>0</v>
      </c>
      <c r="J242" s="70" t="b">
        <v>0</v>
      </c>
      <c r="K242" s="79" t="b">
        <v>0</v>
      </c>
      <c r="L242" s="70" t="b">
        <v>0</v>
      </c>
      <c r="M242" s="70" t="b">
        <v>0</v>
      </c>
      <c r="N242" s="1"/>
    </row>
    <row r="243" spans="1:14" ht="22.5" customHeight="1">
      <c r="A243" s="1"/>
      <c r="B243" s="1" t="e">
        <f t="array" aca="1" ref="B243" ca="1">_xludf.XLOOKUP(A243, 도서_정보[ID], 도서_정보[도서명], "")</f>
        <v>#NAME?</v>
      </c>
      <c r="C243" s="1" t="e">
        <f t="array" aca="1" ref="C243" ca="1">_xludf.XLOOKUP(A243, 도서_정보[ID], 도서_정보[작업 페이지], "")</f>
        <v>#NAME?</v>
      </c>
      <c r="D243" s="70" t="b">
        <v>0</v>
      </c>
      <c r="E243" s="70" t="b">
        <v>0</v>
      </c>
      <c r="F243" s="79" t="b">
        <v>0</v>
      </c>
      <c r="G243" s="70" t="b">
        <v>0</v>
      </c>
      <c r="H243" s="70" t="b">
        <v>0</v>
      </c>
      <c r="I243" s="70" t="b">
        <v>0</v>
      </c>
      <c r="J243" s="70" t="b">
        <v>0</v>
      </c>
      <c r="K243" s="79" t="b">
        <v>0</v>
      </c>
      <c r="L243" s="70" t="b">
        <v>0</v>
      </c>
      <c r="M243" s="70" t="b">
        <v>0</v>
      </c>
      <c r="N243" s="1"/>
    </row>
    <row r="244" spans="1:14" ht="22.5" customHeight="1">
      <c r="A244" s="1"/>
      <c r="B244" s="1" t="e">
        <f t="array" aca="1" ref="B244" ca="1">_xludf.XLOOKUP(A244, 도서_정보[ID], 도서_정보[도서명], "")</f>
        <v>#NAME?</v>
      </c>
      <c r="C244" s="1" t="e">
        <f t="array" aca="1" ref="C244" ca="1">_xludf.XLOOKUP(A244, 도서_정보[ID], 도서_정보[작업 페이지], "")</f>
        <v>#NAME?</v>
      </c>
      <c r="D244" s="70" t="b">
        <v>0</v>
      </c>
      <c r="E244" s="70" t="b">
        <v>0</v>
      </c>
      <c r="F244" s="79" t="b">
        <v>0</v>
      </c>
      <c r="G244" s="70" t="b">
        <v>0</v>
      </c>
      <c r="H244" s="70" t="b">
        <v>0</v>
      </c>
      <c r="I244" s="70" t="b">
        <v>0</v>
      </c>
      <c r="J244" s="70" t="b">
        <v>0</v>
      </c>
      <c r="K244" s="79" t="b">
        <v>0</v>
      </c>
      <c r="L244" s="70" t="b">
        <v>0</v>
      </c>
      <c r="M244" s="70" t="b">
        <v>0</v>
      </c>
      <c r="N244" s="1"/>
    </row>
    <row r="245" spans="1:14" ht="22.5" customHeight="1">
      <c r="A245" s="1"/>
      <c r="B245" s="1" t="e">
        <f t="array" aca="1" ref="B245" ca="1">_xludf.XLOOKUP(A245, 도서_정보[ID], 도서_정보[도서명], "")</f>
        <v>#NAME?</v>
      </c>
      <c r="C245" s="1" t="e">
        <f t="array" aca="1" ref="C245" ca="1">_xludf.XLOOKUP(A245, 도서_정보[ID], 도서_정보[작업 페이지], "")</f>
        <v>#NAME?</v>
      </c>
      <c r="D245" s="70" t="b">
        <v>0</v>
      </c>
      <c r="E245" s="70" t="b">
        <v>0</v>
      </c>
      <c r="F245" s="79" t="b">
        <v>0</v>
      </c>
      <c r="G245" s="70" t="b">
        <v>0</v>
      </c>
      <c r="H245" s="70" t="b">
        <v>0</v>
      </c>
      <c r="I245" s="70" t="b">
        <v>0</v>
      </c>
      <c r="J245" s="70" t="b">
        <v>0</v>
      </c>
      <c r="K245" s="79" t="b">
        <v>0</v>
      </c>
      <c r="L245" s="70" t="b">
        <v>0</v>
      </c>
      <c r="M245" s="70" t="b">
        <v>0</v>
      </c>
      <c r="N245" s="1"/>
    </row>
    <row r="246" spans="1:14" ht="22.5" customHeight="1">
      <c r="A246" s="1"/>
      <c r="B246" s="1" t="e">
        <f t="array" aca="1" ref="B246" ca="1">_xludf.XLOOKUP(A246, 도서_정보[ID], 도서_정보[도서명], "")</f>
        <v>#NAME?</v>
      </c>
      <c r="C246" s="1" t="e">
        <f t="array" aca="1" ref="C246" ca="1">_xludf.XLOOKUP(A246, 도서_정보[ID], 도서_정보[작업 페이지], "")</f>
        <v>#NAME?</v>
      </c>
      <c r="D246" s="70" t="b">
        <v>0</v>
      </c>
      <c r="E246" s="70" t="b">
        <v>0</v>
      </c>
      <c r="F246" s="79" t="b">
        <v>0</v>
      </c>
      <c r="G246" s="70" t="b">
        <v>0</v>
      </c>
      <c r="H246" s="70" t="b">
        <v>0</v>
      </c>
      <c r="I246" s="70" t="b">
        <v>0</v>
      </c>
      <c r="J246" s="70" t="b">
        <v>0</v>
      </c>
      <c r="K246" s="79" t="b">
        <v>0</v>
      </c>
      <c r="L246" s="70" t="b">
        <v>0</v>
      </c>
      <c r="M246" s="70" t="b">
        <v>0</v>
      </c>
      <c r="N246" s="1"/>
    </row>
    <row r="247" spans="1:14" ht="22.5" customHeight="1">
      <c r="A247" s="1"/>
      <c r="B247" s="1" t="e">
        <f t="array" aca="1" ref="B247" ca="1">_xludf.XLOOKUP(A247, 도서_정보[ID], 도서_정보[도서명], "")</f>
        <v>#NAME?</v>
      </c>
      <c r="C247" s="1" t="e">
        <f t="array" aca="1" ref="C247" ca="1">_xludf.XLOOKUP(A247, 도서_정보[ID], 도서_정보[작업 페이지], "")</f>
        <v>#NAME?</v>
      </c>
      <c r="D247" s="70" t="b">
        <v>0</v>
      </c>
      <c r="E247" s="70" t="b">
        <v>0</v>
      </c>
      <c r="F247" s="79" t="b">
        <v>0</v>
      </c>
      <c r="G247" s="70" t="b">
        <v>0</v>
      </c>
      <c r="H247" s="70" t="b">
        <v>0</v>
      </c>
      <c r="I247" s="70" t="b">
        <v>0</v>
      </c>
      <c r="J247" s="70" t="b">
        <v>0</v>
      </c>
      <c r="K247" s="79" t="b">
        <v>0</v>
      </c>
      <c r="L247" s="70" t="b">
        <v>0</v>
      </c>
      <c r="M247" s="70" t="b">
        <v>0</v>
      </c>
      <c r="N247" s="1"/>
    </row>
    <row r="248" spans="1:14" ht="22.5" customHeight="1">
      <c r="A248" s="1"/>
      <c r="B248" s="1" t="e">
        <f t="array" aca="1" ref="B248" ca="1">_xludf.XLOOKUP(A248, 도서_정보[ID], 도서_정보[도서명], "")</f>
        <v>#NAME?</v>
      </c>
      <c r="C248" s="1" t="e">
        <f t="array" aca="1" ref="C248" ca="1">_xludf.XLOOKUP(A248, 도서_정보[ID], 도서_정보[작업 페이지], "")</f>
        <v>#NAME?</v>
      </c>
      <c r="D248" s="70" t="b">
        <v>0</v>
      </c>
      <c r="E248" s="70" t="b">
        <v>0</v>
      </c>
      <c r="F248" s="79" t="b">
        <v>0</v>
      </c>
      <c r="G248" s="70" t="b">
        <v>0</v>
      </c>
      <c r="H248" s="70" t="b">
        <v>0</v>
      </c>
      <c r="I248" s="70" t="b">
        <v>0</v>
      </c>
      <c r="J248" s="70" t="b">
        <v>0</v>
      </c>
      <c r="K248" s="79" t="b">
        <v>0</v>
      </c>
      <c r="L248" s="70" t="b">
        <v>0</v>
      </c>
      <c r="M248" s="70" t="b">
        <v>0</v>
      </c>
      <c r="N248" s="1"/>
    </row>
    <row r="249" spans="1:14" ht="22.5" customHeight="1">
      <c r="A249" s="1"/>
      <c r="B249" s="1" t="e">
        <f t="array" aca="1" ref="B249" ca="1">_xludf.XLOOKUP(A249, 도서_정보[ID], 도서_정보[도서명], "")</f>
        <v>#NAME?</v>
      </c>
      <c r="C249" s="1" t="e">
        <f t="array" aca="1" ref="C249" ca="1">_xludf.XLOOKUP(A249, 도서_정보[ID], 도서_정보[작업 페이지], "")</f>
        <v>#NAME?</v>
      </c>
      <c r="D249" s="70" t="b">
        <v>0</v>
      </c>
      <c r="E249" s="70" t="b">
        <v>0</v>
      </c>
      <c r="F249" s="79" t="b">
        <v>0</v>
      </c>
      <c r="G249" s="70" t="b">
        <v>0</v>
      </c>
      <c r="H249" s="70" t="b">
        <v>0</v>
      </c>
      <c r="I249" s="70" t="b">
        <v>0</v>
      </c>
      <c r="J249" s="70" t="b">
        <v>0</v>
      </c>
      <c r="K249" s="79" t="b">
        <v>0</v>
      </c>
      <c r="L249" s="70" t="b">
        <v>0</v>
      </c>
      <c r="M249" s="70" t="b">
        <v>0</v>
      </c>
      <c r="N249" s="1"/>
    </row>
    <row r="250" spans="1:14" ht="22.5" customHeight="1">
      <c r="A250" s="1"/>
      <c r="B250" s="1" t="e">
        <f t="array" aca="1" ref="B250" ca="1">_xludf.XLOOKUP(A250, 도서_정보[ID], 도서_정보[도서명], "")</f>
        <v>#NAME?</v>
      </c>
      <c r="C250" s="1" t="e">
        <f t="array" aca="1" ref="C250" ca="1">_xludf.XLOOKUP(A250, 도서_정보[ID], 도서_정보[작업 페이지], "")</f>
        <v>#NAME?</v>
      </c>
      <c r="D250" s="70" t="b">
        <v>0</v>
      </c>
      <c r="E250" s="70" t="b">
        <v>0</v>
      </c>
      <c r="F250" s="79" t="b">
        <v>0</v>
      </c>
      <c r="G250" s="70" t="b">
        <v>0</v>
      </c>
      <c r="H250" s="70" t="b">
        <v>0</v>
      </c>
      <c r="I250" s="70" t="b">
        <v>0</v>
      </c>
      <c r="J250" s="70" t="b">
        <v>0</v>
      </c>
      <c r="K250" s="79" t="b">
        <v>0</v>
      </c>
      <c r="L250" s="70" t="b">
        <v>0</v>
      </c>
      <c r="M250" s="70" t="b">
        <v>0</v>
      </c>
      <c r="N250" s="1"/>
    </row>
    <row r="251" spans="1:14" ht="22.5" customHeight="1">
      <c r="A251" s="1"/>
      <c r="B251" s="1" t="e">
        <f t="array" aca="1" ref="B251" ca="1">_xludf.XLOOKUP(A251, 도서_정보[ID], 도서_정보[도서명], "")</f>
        <v>#NAME?</v>
      </c>
      <c r="C251" s="1" t="e">
        <f t="array" aca="1" ref="C251" ca="1">_xludf.XLOOKUP(A251, 도서_정보[ID], 도서_정보[작업 페이지], "")</f>
        <v>#NAME?</v>
      </c>
      <c r="D251" s="70" t="b">
        <v>0</v>
      </c>
      <c r="E251" s="70" t="b">
        <v>0</v>
      </c>
      <c r="F251" s="79" t="b">
        <v>0</v>
      </c>
      <c r="G251" s="70" t="b">
        <v>0</v>
      </c>
      <c r="H251" s="70" t="b">
        <v>0</v>
      </c>
      <c r="I251" s="70" t="b">
        <v>0</v>
      </c>
      <c r="J251" s="70" t="b">
        <v>0</v>
      </c>
      <c r="K251" s="79" t="b">
        <v>0</v>
      </c>
      <c r="L251" s="70" t="b">
        <v>0</v>
      </c>
      <c r="M251" s="70" t="b">
        <v>0</v>
      </c>
      <c r="N251" s="1"/>
    </row>
    <row r="252" spans="1:14" ht="22.5" customHeight="1">
      <c r="A252" s="1"/>
      <c r="B252" s="1" t="e">
        <f t="array" aca="1" ref="B252" ca="1">_xludf.XLOOKUP(A252, 도서_정보[ID], 도서_정보[도서명], "")</f>
        <v>#NAME?</v>
      </c>
      <c r="C252" s="1" t="e">
        <f t="array" aca="1" ref="C252" ca="1">_xludf.XLOOKUP(A252, 도서_정보[ID], 도서_정보[작업 페이지], "")</f>
        <v>#NAME?</v>
      </c>
      <c r="D252" s="70" t="b">
        <v>0</v>
      </c>
      <c r="E252" s="70" t="b">
        <v>0</v>
      </c>
      <c r="F252" s="79" t="b">
        <v>0</v>
      </c>
      <c r="G252" s="70" t="b">
        <v>0</v>
      </c>
      <c r="H252" s="70" t="b">
        <v>0</v>
      </c>
      <c r="I252" s="70" t="b">
        <v>0</v>
      </c>
      <c r="J252" s="70" t="b">
        <v>0</v>
      </c>
      <c r="K252" s="79" t="b">
        <v>0</v>
      </c>
      <c r="L252" s="70" t="b">
        <v>0</v>
      </c>
      <c r="M252" s="70" t="b">
        <v>0</v>
      </c>
      <c r="N252" s="1"/>
    </row>
    <row r="253" spans="1:14" ht="22.5" customHeight="1">
      <c r="A253" s="1"/>
      <c r="B253" s="1" t="e">
        <f t="array" aca="1" ref="B253" ca="1">_xludf.XLOOKUP(A253, 도서_정보[ID], 도서_정보[도서명], "")</f>
        <v>#NAME?</v>
      </c>
      <c r="C253" s="1" t="e">
        <f t="array" aca="1" ref="C253" ca="1">_xludf.XLOOKUP(A253, 도서_정보[ID], 도서_정보[작업 페이지], "")</f>
        <v>#NAME?</v>
      </c>
      <c r="D253" s="70" t="b">
        <v>0</v>
      </c>
      <c r="E253" s="70" t="b">
        <v>0</v>
      </c>
      <c r="F253" s="79" t="b">
        <v>0</v>
      </c>
      <c r="G253" s="70" t="b">
        <v>0</v>
      </c>
      <c r="H253" s="70" t="b">
        <v>0</v>
      </c>
      <c r="I253" s="70" t="b">
        <v>0</v>
      </c>
      <c r="J253" s="70" t="b">
        <v>0</v>
      </c>
      <c r="K253" s="79" t="b">
        <v>0</v>
      </c>
      <c r="L253" s="70" t="b">
        <v>0</v>
      </c>
      <c r="M253" s="70" t="b">
        <v>0</v>
      </c>
      <c r="N253" s="1"/>
    </row>
    <row r="254" spans="1:14" ht="22.5" customHeight="1">
      <c r="A254" s="1"/>
      <c r="B254" s="1" t="e">
        <f t="array" aca="1" ref="B254" ca="1">_xludf.XLOOKUP(A254, 도서_정보[ID], 도서_정보[도서명], "")</f>
        <v>#NAME?</v>
      </c>
      <c r="C254" s="1" t="e">
        <f t="array" aca="1" ref="C254" ca="1">_xludf.XLOOKUP(A254, 도서_정보[ID], 도서_정보[작업 페이지], "")</f>
        <v>#NAME?</v>
      </c>
      <c r="D254" s="70" t="b">
        <v>0</v>
      </c>
      <c r="E254" s="70" t="b">
        <v>0</v>
      </c>
      <c r="F254" s="79" t="b">
        <v>0</v>
      </c>
      <c r="G254" s="70" t="b">
        <v>0</v>
      </c>
      <c r="H254" s="70" t="b">
        <v>0</v>
      </c>
      <c r="I254" s="70" t="b">
        <v>0</v>
      </c>
      <c r="J254" s="70" t="b">
        <v>0</v>
      </c>
      <c r="K254" s="79" t="b">
        <v>0</v>
      </c>
      <c r="L254" s="70" t="b">
        <v>0</v>
      </c>
      <c r="M254" s="70" t="b">
        <v>0</v>
      </c>
      <c r="N254" s="1"/>
    </row>
    <row r="255" spans="1:14" ht="22.5" customHeight="1">
      <c r="A255" s="1"/>
      <c r="B255" s="1" t="e">
        <f t="array" aca="1" ref="B255" ca="1">_xludf.XLOOKUP(A255, 도서_정보[ID], 도서_정보[도서명], "")</f>
        <v>#NAME?</v>
      </c>
      <c r="C255" s="1" t="e">
        <f t="array" aca="1" ref="C255" ca="1">_xludf.XLOOKUP(A255, 도서_정보[ID], 도서_정보[작업 페이지], "")</f>
        <v>#NAME?</v>
      </c>
      <c r="D255" s="70" t="b">
        <v>0</v>
      </c>
      <c r="E255" s="70" t="b">
        <v>0</v>
      </c>
      <c r="F255" s="79" t="b">
        <v>0</v>
      </c>
      <c r="G255" s="70" t="b">
        <v>0</v>
      </c>
      <c r="H255" s="70" t="b">
        <v>0</v>
      </c>
      <c r="I255" s="70" t="b">
        <v>0</v>
      </c>
      <c r="J255" s="70" t="b">
        <v>0</v>
      </c>
      <c r="K255" s="79" t="b">
        <v>0</v>
      </c>
      <c r="L255" s="70" t="b">
        <v>0</v>
      </c>
      <c r="M255" s="70" t="b">
        <v>0</v>
      </c>
      <c r="N255" s="1"/>
    </row>
    <row r="256" spans="1:14" ht="22.5" customHeight="1">
      <c r="A256" s="1"/>
      <c r="B256" s="1" t="e">
        <f t="array" aca="1" ref="B256" ca="1">_xludf.XLOOKUP(A256, 도서_정보[ID], 도서_정보[도서명], "")</f>
        <v>#NAME?</v>
      </c>
      <c r="C256" s="1" t="e">
        <f t="array" aca="1" ref="C256" ca="1">_xludf.XLOOKUP(A256, 도서_정보[ID], 도서_정보[작업 페이지], "")</f>
        <v>#NAME?</v>
      </c>
      <c r="D256" s="70" t="b">
        <v>0</v>
      </c>
      <c r="E256" s="70" t="b">
        <v>0</v>
      </c>
      <c r="F256" s="79" t="b">
        <v>0</v>
      </c>
      <c r="G256" s="70" t="b">
        <v>0</v>
      </c>
      <c r="H256" s="70" t="b">
        <v>0</v>
      </c>
      <c r="I256" s="70" t="b">
        <v>0</v>
      </c>
      <c r="J256" s="70" t="b">
        <v>0</v>
      </c>
      <c r="K256" s="79" t="b">
        <v>0</v>
      </c>
      <c r="L256" s="70" t="b">
        <v>0</v>
      </c>
      <c r="M256" s="70" t="b">
        <v>0</v>
      </c>
      <c r="N256" s="1"/>
    </row>
    <row r="257" spans="1:14" ht="22.5" customHeight="1">
      <c r="A257" s="1"/>
      <c r="B257" s="1" t="e">
        <f t="array" aca="1" ref="B257" ca="1">_xludf.XLOOKUP(A257, 도서_정보[ID], 도서_정보[도서명], "")</f>
        <v>#NAME?</v>
      </c>
      <c r="C257" s="1" t="e">
        <f t="array" aca="1" ref="C257" ca="1">_xludf.XLOOKUP(A257, 도서_정보[ID], 도서_정보[작업 페이지], "")</f>
        <v>#NAME?</v>
      </c>
      <c r="D257" s="70" t="b">
        <v>0</v>
      </c>
      <c r="E257" s="70" t="b">
        <v>0</v>
      </c>
      <c r="F257" s="79" t="b">
        <v>0</v>
      </c>
      <c r="G257" s="70" t="b">
        <v>0</v>
      </c>
      <c r="H257" s="70" t="b">
        <v>0</v>
      </c>
      <c r="I257" s="70" t="b">
        <v>0</v>
      </c>
      <c r="J257" s="70" t="b">
        <v>0</v>
      </c>
      <c r="K257" s="79" t="b">
        <v>0</v>
      </c>
      <c r="L257" s="70" t="b">
        <v>0</v>
      </c>
      <c r="M257" s="70" t="b">
        <v>0</v>
      </c>
      <c r="N257" s="1"/>
    </row>
    <row r="258" spans="1:14" ht="22.5" customHeight="1">
      <c r="A258" s="1"/>
      <c r="B258" s="1" t="e">
        <f t="array" aca="1" ref="B258" ca="1">_xludf.XLOOKUP(A258, 도서_정보[ID], 도서_정보[도서명], "")</f>
        <v>#NAME?</v>
      </c>
      <c r="C258" s="1" t="e">
        <f t="array" aca="1" ref="C258" ca="1">_xludf.XLOOKUP(A258, 도서_정보[ID], 도서_정보[작업 페이지], "")</f>
        <v>#NAME?</v>
      </c>
      <c r="D258" s="70" t="b">
        <v>0</v>
      </c>
      <c r="E258" s="70" t="b">
        <v>0</v>
      </c>
      <c r="F258" s="79" t="b">
        <v>0</v>
      </c>
      <c r="G258" s="70" t="b">
        <v>0</v>
      </c>
      <c r="H258" s="70" t="b">
        <v>0</v>
      </c>
      <c r="I258" s="70" t="b">
        <v>0</v>
      </c>
      <c r="J258" s="70" t="b">
        <v>0</v>
      </c>
      <c r="K258" s="79" t="b">
        <v>0</v>
      </c>
      <c r="L258" s="70" t="b">
        <v>0</v>
      </c>
      <c r="M258" s="70" t="b">
        <v>0</v>
      </c>
      <c r="N258" s="1"/>
    </row>
    <row r="259" spans="1:14" ht="22.5" customHeight="1">
      <c r="A259" s="1"/>
      <c r="B259" s="1" t="e">
        <f t="array" aca="1" ref="B259" ca="1">_xludf.XLOOKUP(A259, 도서_정보[ID], 도서_정보[도서명], "")</f>
        <v>#NAME?</v>
      </c>
      <c r="C259" s="1" t="e">
        <f t="array" aca="1" ref="C259" ca="1">_xludf.XLOOKUP(A259, 도서_정보[ID], 도서_정보[작업 페이지], "")</f>
        <v>#NAME?</v>
      </c>
      <c r="D259" s="70" t="b">
        <v>0</v>
      </c>
      <c r="E259" s="70" t="b">
        <v>0</v>
      </c>
      <c r="F259" s="79" t="b">
        <v>0</v>
      </c>
      <c r="G259" s="70" t="b">
        <v>0</v>
      </c>
      <c r="H259" s="70" t="b">
        <v>0</v>
      </c>
      <c r="I259" s="70" t="b">
        <v>0</v>
      </c>
      <c r="J259" s="70" t="b">
        <v>0</v>
      </c>
      <c r="K259" s="79" t="b">
        <v>0</v>
      </c>
      <c r="L259" s="70" t="b">
        <v>0</v>
      </c>
      <c r="M259" s="70" t="b">
        <v>0</v>
      </c>
      <c r="N259" s="1"/>
    </row>
    <row r="260" spans="1:14" ht="22.5" customHeight="1">
      <c r="A260" s="1"/>
      <c r="B260" s="1" t="e">
        <f t="array" aca="1" ref="B260" ca="1">_xludf.XLOOKUP(A260, 도서_정보[ID], 도서_정보[도서명], "")</f>
        <v>#NAME?</v>
      </c>
      <c r="C260" s="1" t="e">
        <f t="array" aca="1" ref="C260" ca="1">_xludf.XLOOKUP(A260, 도서_정보[ID], 도서_정보[작업 페이지], "")</f>
        <v>#NAME?</v>
      </c>
      <c r="D260" s="70" t="b">
        <v>0</v>
      </c>
      <c r="E260" s="70" t="b">
        <v>0</v>
      </c>
      <c r="F260" s="79" t="b">
        <v>0</v>
      </c>
      <c r="G260" s="70" t="b">
        <v>0</v>
      </c>
      <c r="H260" s="70" t="b">
        <v>0</v>
      </c>
      <c r="I260" s="70" t="b">
        <v>0</v>
      </c>
      <c r="J260" s="70" t="b">
        <v>0</v>
      </c>
      <c r="K260" s="79" t="b">
        <v>0</v>
      </c>
      <c r="L260" s="70" t="b">
        <v>0</v>
      </c>
      <c r="M260" s="70" t="b">
        <v>0</v>
      </c>
      <c r="N260" s="1"/>
    </row>
    <row r="261" spans="1:14" ht="22.5" customHeight="1">
      <c r="A261" s="1"/>
      <c r="B261" s="1" t="e">
        <f t="array" aca="1" ref="B261" ca="1">_xludf.XLOOKUP(A261, 도서_정보[ID], 도서_정보[도서명], "")</f>
        <v>#NAME?</v>
      </c>
      <c r="C261" s="1" t="e">
        <f t="array" aca="1" ref="C261" ca="1">_xludf.XLOOKUP(A261, 도서_정보[ID], 도서_정보[작업 페이지], "")</f>
        <v>#NAME?</v>
      </c>
      <c r="D261" s="70" t="b">
        <v>0</v>
      </c>
      <c r="E261" s="70" t="b">
        <v>0</v>
      </c>
      <c r="F261" s="79" t="b">
        <v>0</v>
      </c>
      <c r="G261" s="70" t="b">
        <v>0</v>
      </c>
      <c r="H261" s="70" t="b">
        <v>0</v>
      </c>
      <c r="I261" s="70" t="b">
        <v>0</v>
      </c>
      <c r="J261" s="70" t="b">
        <v>0</v>
      </c>
      <c r="K261" s="79" t="b">
        <v>0</v>
      </c>
      <c r="L261" s="70" t="b">
        <v>0</v>
      </c>
      <c r="M261" s="70" t="b">
        <v>0</v>
      </c>
      <c r="N261" s="1"/>
    </row>
    <row r="262" spans="1:14" ht="22.5" customHeight="1">
      <c r="A262" s="1"/>
      <c r="B262" s="1" t="e">
        <f t="array" aca="1" ref="B262" ca="1">_xludf.XLOOKUP(A262, 도서_정보[ID], 도서_정보[도서명], "")</f>
        <v>#NAME?</v>
      </c>
      <c r="C262" s="1" t="e">
        <f t="array" aca="1" ref="C262" ca="1">_xludf.XLOOKUP(A262, 도서_정보[ID], 도서_정보[작업 페이지], "")</f>
        <v>#NAME?</v>
      </c>
      <c r="D262" s="70" t="b">
        <v>0</v>
      </c>
      <c r="E262" s="70" t="b">
        <v>0</v>
      </c>
      <c r="F262" s="79" t="b">
        <v>0</v>
      </c>
      <c r="G262" s="70" t="b">
        <v>0</v>
      </c>
      <c r="H262" s="70" t="b">
        <v>0</v>
      </c>
      <c r="I262" s="70" t="b">
        <v>0</v>
      </c>
      <c r="J262" s="70" t="b">
        <v>0</v>
      </c>
      <c r="K262" s="79" t="b">
        <v>0</v>
      </c>
      <c r="L262" s="70" t="b">
        <v>0</v>
      </c>
      <c r="M262" s="70" t="b">
        <v>0</v>
      </c>
      <c r="N262" s="1"/>
    </row>
    <row r="263" spans="1:14" ht="22.5" customHeight="1">
      <c r="A263" s="1"/>
      <c r="B263" s="1" t="e">
        <f t="array" aca="1" ref="B263" ca="1">_xludf.XLOOKUP(A263, 도서_정보[ID], 도서_정보[도서명], "")</f>
        <v>#NAME?</v>
      </c>
      <c r="C263" s="1" t="e">
        <f t="array" aca="1" ref="C263" ca="1">_xludf.XLOOKUP(A263, 도서_정보[ID], 도서_정보[작업 페이지], "")</f>
        <v>#NAME?</v>
      </c>
      <c r="D263" s="70" t="b">
        <v>0</v>
      </c>
      <c r="E263" s="70" t="b">
        <v>0</v>
      </c>
      <c r="F263" s="79" t="b">
        <v>0</v>
      </c>
      <c r="G263" s="70" t="b">
        <v>0</v>
      </c>
      <c r="H263" s="70" t="b">
        <v>0</v>
      </c>
      <c r="I263" s="70" t="b">
        <v>0</v>
      </c>
      <c r="J263" s="70" t="b">
        <v>0</v>
      </c>
      <c r="K263" s="79" t="b">
        <v>0</v>
      </c>
      <c r="L263" s="70" t="b">
        <v>0</v>
      </c>
      <c r="M263" s="70" t="b">
        <v>0</v>
      </c>
      <c r="N263" s="1"/>
    </row>
    <row r="264" spans="1:14" ht="22.5" customHeight="1">
      <c r="A264" s="1"/>
      <c r="B264" s="1" t="e">
        <f t="array" aca="1" ref="B264" ca="1">_xludf.XLOOKUP(A264, 도서_정보[ID], 도서_정보[도서명], "")</f>
        <v>#NAME?</v>
      </c>
      <c r="C264" s="1" t="e">
        <f t="array" aca="1" ref="C264" ca="1">_xludf.XLOOKUP(A264, 도서_정보[ID], 도서_정보[작업 페이지], "")</f>
        <v>#NAME?</v>
      </c>
      <c r="D264" s="70" t="b">
        <v>0</v>
      </c>
      <c r="E264" s="70" t="b">
        <v>0</v>
      </c>
      <c r="F264" s="79" t="b">
        <v>0</v>
      </c>
      <c r="G264" s="70" t="b">
        <v>0</v>
      </c>
      <c r="H264" s="70" t="b">
        <v>0</v>
      </c>
      <c r="I264" s="70" t="b">
        <v>0</v>
      </c>
      <c r="J264" s="70" t="b">
        <v>0</v>
      </c>
      <c r="K264" s="79" t="b">
        <v>0</v>
      </c>
      <c r="L264" s="70" t="b">
        <v>0</v>
      </c>
      <c r="M264" s="70" t="b">
        <v>0</v>
      </c>
      <c r="N264" s="1"/>
    </row>
    <row r="265" spans="1:14" ht="22.5" customHeight="1">
      <c r="A265" s="1"/>
      <c r="B265" s="1" t="e">
        <f t="array" aca="1" ref="B265" ca="1">_xludf.XLOOKUP(A265, 도서_정보[ID], 도서_정보[도서명], "")</f>
        <v>#NAME?</v>
      </c>
      <c r="C265" s="1" t="e">
        <f t="array" aca="1" ref="C265" ca="1">_xludf.XLOOKUP(A265, 도서_정보[ID], 도서_정보[작업 페이지], "")</f>
        <v>#NAME?</v>
      </c>
      <c r="D265" s="70" t="b">
        <v>0</v>
      </c>
      <c r="E265" s="70" t="b">
        <v>0</v>
      </c>
      <c r="F265" s="79" t="b">
        <v>0</v>
      </c>
      <c r="G265" s="70" t="b">
        <v>0</v>
      </c>
      <c r="H265" s="70" t="b">
        <v>0</v>
      </c>
      <c r="I265" s="70" t="b">
        <v>0</v>
      </c>
      <c r="J265" s="70" t="b">
        <v>0</v>
      </c>
      <c r="K265" s="79" t="b">
        <v>0</v>
      </c>
      <c r="L265" s="70" t="b">
        <v>0</v>
      </c>
      <c r="M265" s="70" t="b">
        <v>0</v>
      </c>
      <c r="N265" s="1"/>
    </row>
    <row r="266" spans="1:14" ht="22.5" customHeight="1">
      <c r="A266" s="1"/>
      <c r="B266" s="1" t="e">
        <f t="array" aca="1" ref="B266" ca="1">_xludf.XLOOKUP(A266, 도서_정보[ID], 도서_정보[도서명], "")</f>
        <v>#NAME?</v>
      </c>
      <c r="C266" s="1" t="e">
        <f t="array" aca="1" ref="C266" ca="1">_xludf.XLOOKUP(A266, 도서_정보[ID], 도서_정보[작업 페이지], "")</f>
        <v>#NAME?</v>
      </c>
      <c r="D266" s="70" t="b">
        <v>0</v>
      </c>
      <c r="E266" s="70" t="b">
        <v>0</v>
      </c>
      <c r="F266" s="79" t="b">
        <v>0</v>
      </c>
      <c r="G266" s="70" t="b">
        <v>0</v>
      </c>
      <c r="H266" s="70" t="b">
        <v>0</v>
      </c>
      <c r="I266" s="70" t="b">
        <v>0</v>
      </c>
      <c r="J266" s="70" t="b">
        <v>0</v>
      </c>
      <c r="K266" s="79" t="b">
        <v>0</v>
      </c>
      <c r="L266" s="70" t="b">
        <v>0</v>
      </c>
      <c r="M266" s="70" t="b">
        <v>0</v>
      </c>
      <c r="N266" s="1"/>
    </row>
    <row r="267" spans="1:14" ht="22.5" customHeight="1">
      <c r="A267" s="1"/>
      <c r="B267" s="1" t="e">
        <f t="array" aca="1" ref="B267" ca="1">_xludf.XLOOKUP(A267, 도서_정보[ID], 도서_정보[도서명], "")</f>
        <v>#NAME?</v>
      </c>
      <c r="C267" s="1" t="e">
        <f t="array" aca="1" ref="C267" ca="1">_xludf.XLOOKUP(A267, 도서_정보[ID], 도서_정보[작업 페이지], "")</f>
        <v>#NAME?</v>
      </c>
      <c r="D267" s="70" t="b">
        <v>0</v>
      </c>
      <c r="E267" s="70" t="b">
        <v>0</v>
      </c>
      <c r="F267" s="79" t="b">
        <v>0</v>
      </c>
      <c r="G267" s="70" t="b">
        <v>0</v>
      </c>
      <c r="H267" s="70" t="b">
        <v>0</v>
      </c>
      <c r="I267" s="70" t="b">
        <v>0</v>
      </c>
      <c r="J267" s="70" t="b">
        <v>0</v>
      </c>
      <c r="K267" s="79" t="b">
        <v>0</v>
      </c>
      <c r="L267" s="70" t="b">
        <v>0</v>
      </c>
      <c r="M267" s="70" t="b">
        <v>0</v>
      </c>
      <c r="N267" s="1"/>
    </row>
    <row r="268" spans="1:14" ht="22.5" customHeight="1">
      <c r="A268" s="1"/>
      <c r="B268" s="1" t="e">
        <f t="array" aca="1" ref="B268" ca="1">_xludf.XLOOKUP(A268, 도서_정보[ID], 도서_정보[도서명], "")</f>
        <v>#NAME?</v>
      </c>
      <c r="C268" s="1" t="e">
        <f t="array" aca="1" ref="C268" ca="1">_xludf.XLOOKUP(A268, 도서_정보[ID], 도서_정보[작업 페이지], "")</f>
        <v>#NAME?</v>
      </c>
      <c r="D268" s="70" t="b">
        <v>0</v>
      </c>
      <c r="E268" s="70" t="b">
        <v>0</v>
      </c>
      <c r="F268" s="79" t="b">
        <v>0</v>
      </c>
      <c r="G268" s="70" t="b">
        <v>0</v>
      </c>
      <c r="H268" s="70" t="b">
        <v>0</v>
      </c>
      <c r="I268" s="70" t="b">
        <v>0</v>
      </c>
      <c r="J268" s="70" t="b">
        <v>0</v>
      </c>
      <c r="K268" s="79" t="b">
        <v>0</v>
      </c>
      <c r="L268" s="70" t="b">
        <v>0</v>
      </c>
      <c r="M268" s="70" t="b">
        <v>0</v>
      </c>
      <c r="N268" s="1"/>
    </row>
    <row r="269" spans="1:14" ht="22.5" customHeight="1">
      <c r="A269" s="1"/>
      <c r="B269" s="1" t="e">
        <f t="array" aca="1" ref="B269" ca="1">_xludf.XLOOKUP(A269, 도서_정보[ID], 도서_정보[도서명], "")</f>
        <v>#NAME?</v>
      </c>
      <c r="C269" s="1" t="e">
        <f t="array" aca="1" ref="C269" ca="1">_xludf.XLOOKUP(A269, 도서_정보[ID], 도서_정보[작업 페이지], "")</f>
        <v>#NAME?</v>
      </c>
      <c r="D269" s="70" t="b">
        <v>0</v>
      </c>
      <c r="E269" s="70" t="b">
        <v>0</v>
      </c>
      <c r="F269" s="79" t="b">
        <v>0</v>
      </c>
      <c r="G269" s="70" t="b">
        <v>0</v>
      </c>
      <c r="H269" s="70" t="b">
        <v>0</v>
      </c>
      <c r="I269" s="70" t="b">
        <v>0</v>
      </c>
      <c r="J269" s="70" t="b">
        <v>0</v>
      </c>
      <c r="K269" s="79" t="b">
        <v>0</v>
      </c>
      <c r="L269" s="70" t="b">
        <v>0</v>
      </c>
      <c r="M269" s="70" t="b">
        <v>0</v>
      </c>
      <c r="N269" s="1"/>
    </row>
    <row r="270" spans="1:14" ht="22.5" customHeight="1">
      <c r="A270" s="1"/>
      <c r="B270" s="1" t="e">
        <f t="array" aca="1" ref="B270" ca="1">_xludf.XLOOKUP(A270, 도서_정보[ID], 도서_정보[도서명], "")</f>
        <v>#NAME?</v>
      </c>
      <c r="C270" s="1" t="e">
        <f t="array" aca="1" ref="C270" ca="1">_xludf.XLOOKUP(A270, 도서_정보[ID], 도서_정보[작업 페이지], "")</f>
        <v>#NAME?</v>
      </c>
      <c r="D270" s="70" t="b">
        <v>0</v>
      </c>
      <c r="E270" s="70" t="b">
        <v>0</v>
      </c>
      <c r="F270" s="79" t="b">
        <v>0</v>
      </c>
      <c r="G270" s="70" t="b">
        <v>0</v>
      </c>
      <c r="H270" s="70" t="b">
        <v>0</v>
      </c>
      <c r="I270" s="70" t="b">
        <v>0</v>
      </c>
      <c r="J270" s="70" t="b">
        <v>0</v>
      </c>
      <c r="K270" s="79" t="b">
        <v>0</v>
      </c>
      <c r="L270" s="70" t="b">
        <v>0</v>
      </c>
      <c r="M270" s="70" t="b">
        <v>0</v>
      </c>
      <c r="N270" s="1"/>
    </row>
    <row r="271" spans="1:14" ht="22.5" customHeight="1">
      <c r="A271" s="1"/>
      <c r="B271" s="1" t="e">
        <f t="array" aca="1" ref="B271" ca="1">_xludf.XLOOKUP(A271, 도서_정보[ID], 도서_정보[도서명], "")</f>
        <v>#NAME?</v>
      </c>
      <c r="C271" s="1" t="e">
        <f t="array" aca="1" ref="C271" ca="1">_xludf.XLOOKUP(A271, 도서_정보[ID], 도서_정보[작업 페이지], "")</f>
        <v>#NAME?</v>
      </c>
      <c r="D271" s="70" t="b">
        <v>0</v>
      </c>
      <c r="E271" s="70" t="b">
        <v>0</v>
      </c>
      <c r="F271" s="79" t="b">
        <v>0</v>
      </c>
      <c r="G271" s="70" t="b">
        <v>0</v>
      </c>
      <c r="H271" s="70" t="b">
        <v>0</v>
      </c>
      <c r="I271" s="70" t="b">
        <v>0</v>
      </c>
      <c r="J271" s="70" t="b">
        <v>0</v>
      </c>
      <c r="K271" s="79" t="b">
        <v>0</v>
      </c>
      <c r="L271" s="70" t="b">
        <v>0</v>
      </c>
      <c r="M271" s="70" t="b">
        <v>0</v>
      </c>
      <c r="N271" s="1"/>
    </row>
    <row r="272" spans="1:14" ht="22.5" customHeight="1">
      <c r="A272" s="1"/>
      <c r="B272" s="1" t="e">
        <f t="array" aca="1" ref="B272" ca="1">_xludf.XLOOKUP(A272, 도서_정보[ID], 도서_정보[도서명], "")</f>
        <v>#NAME?</v>
      </c>
      <c r="C272" s="1" t="e">
        <f t="array" aca="1" ref="C272" ca="1">_xludf.XLOOKUP(A272, 도서_정보[ID], 도서_정보[작업 페이지], "")</f>
        <v>#NAME?</v>
      </c>
      <c r="D272" s="70" t="b">
        <v>0</v>
      </c>
      <c r="E272" s="70" t="b">
        <v>0</v>
      </c>
      <c r="F272" s="79" t="b">
        <v>0</v>
      </c>
      <c r="G272" s="70" t="b">
        <v>0</v>
      </c>
      <c r="H272" s="70" t="b">
        <v>0</v>
      </c>
      <c r="I272" s="70" t="b">
        <v>0</v>
      </c>
      <c r="J272" s="70" t="b">
        <v>0</v>
      </c>
      <c r="K272" s="79" t="b">
        <v>0</v>
      </c>
      <c r="L272" s="70" t="b">
        <v>0</v>
      </c>
      <c r="M272" s="70" t="b">
        <v>0</v>
      </c>
      <c r="N272" s="1"/>
    </row>
    <row r="273" spans="1:14" ht="22.5" customHeight="1">
      <c r="A273" s="1"/>
      <c r="B273" s="1" t="e">
        <f t="array" aca="1" ref="B273" ca="1">_xludf.XLOOKUP(A273, 도서_정보[ID], 도서_정보[도서명], "")</f>
        <v>#NAME?</v>
      </c>
      <c r="C273" s="1" t="e">
        <f t="array" aca="1" ref="C273" ca="1">_xludf.XLOOKUP(A273, 도서_정보[ID], 도서_정보[작업 페이지], "")</f>
        <v>#NAME?</v>
      </c>
      <c r="D273" s="70" t="b">
        <v>0</v>
      </c>
      <c r="E273" s="70" t="b">
        <v>0</v>
      </c>
      <c r="F273" s="79" t="b">
        <v>0</v>
      </c>
      <c r="G273" s="70" t="b">
        <v>0</v>
      </c>
      <c r="H273" s="70" t="b">
        <v>0</v>
      </c>
      <c r="I273" s="70" t="b">
        <v>0</v>
      </c>
      <c r="J273" s="70" t="b">
        <v>0</v>
      </c>
      <c r="K273" s="79" t="b">
        <v>0</v>
      </c>
      <c r="L273" s="70" t="b">
        <v>0</v>
      </c>
      <c r="M273" s="70" t="b">
        <v>0</v>
      </c>
      <c r="N273" s="1"/>
    </row>
    <row r="274" spans="1:14" ht="22.5" customHeight="1">
      <c r="A274" s="1"/>
      <c r="B274" s="1" t="e">
        <f t="array" aca="1" ref="B274" ca="1">_xludf.XLOOKUP(A274, 도서_정보[ID], 도서_정보[도서명], "")</f>
        <v>#NAME?</v>
      </c>
      <c r="C274" s="1" t="e">
        <f t="array" aca="1" ref="C274" ca="1">_xludf.XLOOKUP(A274, 도서_정보[ID], 도서_정보[작업 페이지], "")</f>
        <v>#NAME?</v>
      </c>
      <c r="D274" s="70" t="b">
        <v>0</v>
      </c>
      <c r="E274" s="70" t="b">
        <v>0</v>
      </c>
      <c r="F274" s="79" t="b">
        <v>0</v>
      </c>
      <c r="G274" s="70" t="b">
        <v>0</v>
      </c>
      <c r="H274" s="70" t="b">
        <v>0</v>
      </c>
      <c r="I274" s="70" t="b">
        <v>0</v>
      </c>
      <c r="J274" s="70" t="b">
        <v>0</v>
      </c>
      <c r="K274" s="79" t="b">
        <v>0</v>
      </c>
      <c r="L274" s="70" t="b">
        <v>0</v>
      </c>
      <c r="M274" s="70" t="b">
        <v>0</v>
      </c>
      <c r="N274" s="1"/>
    </row>
    <row r="275" spans="1:14" ht="22.5" customHeight="1">
      <c r="A275" s="1"/>
      <c r="B275" s="1" t="e">
        <f t="array" aca="1" ref="B275" ca="1">_xludf.XLOOKUP(A275, 도서_정보[ID], 도서_정보[도서명], "")</f>
        <v>#NAME?</v>
      </c>
      <c r="C275" s="1" t="e">
        <f t="array" aca="1" ref="C275" ca="1">_xludf.XLOOKUP(A275, 도서_정보[ID], 도서_정보[작업 페이지], "")</f>
        <v>#NAME?</v>
      </c>
      <c r="D275" s="70" t="b">
        <v>0</v>
      </c>
      <c r="E275" s="70" t="b">
        <v>0</v>
      </c>
      <c r="F275" s="79" t="b">
        <v>0</v>
      </c>
      <c r="G275" s="70" t="b">
        <v>0</v>
      </c>
      <c r="H275" s="70" t="b">
        <v>0</v>
      </c>
      <c r="I275" s="70" t="b">
        <v>0</v>
      </c>
      <c r="J275" s="70" t="b">
        <v>0</v>
      </c>
      <c r="K275" s="79" t="b">
        <v>0</v>
      </c>
      <c r="L275" s="70" t="b">
        <v>0</v>
      </c>
      <c r="M275" s="70" t="b">
        <v>0</v>
      </c>
      <c r="N275" s="1"/>
    </row>
    <row r="276" spans="1:14" ht="22.5" customHeight="1">
      <c r="A276" s="1"/>
      <c r="B276" s="1" t="e">
        <f t="array" aca="1" ref="B276" ca="1">_xludf.XLOOKUP(A276, 도서_정보[ID], 도서_정보[도서명], "")</f>
        <v>#NAME?</v>
      </c>
      <c r="C276" s="1" t="e">
        <f t="array" aca="1" ref="C276" ca="1">_xludf.XLOOKUP(A276, 도서_정보[ID], 도서_정보[작업 페이지], "")</f>
        <v>#NAME?</v>
      </c>
      <c r="D276" s="70" t="b">
        <v>0</v>
      </c>
      <c r="E276" s="70" t="b">
        <v>0</v>
      </c>
      <c r="F276" s="79" t="b">
        <v>0</v>
      </c>
      <c r="G276" s="70" t="b">
        <v>0</v>
      </c>
      <c r="H276" s="70" t="b">
        <v>0</v>
      </c>
      <c r="I276" s="70" t="b">
        <v>0</v>
      </c>
      <c r="J276" s="70" t="b">
        <v>0</v>
      </c>
      <c r="K276" s="79" t="b">
        <v>0</v>
      </c>
      <c r="L276" s="70" t="b">
        <v>0</v>
      </c>
      <c r="M276" s="70" t="b">
        <v>0</v>
      </c>
      <c r="N276" s="1"/>
    </row>
    <row r="277" spans="1:14" ht="22.5" customHeight="1">
      <c r="A277" s="1"/>
      <c r="B277" s="1" t="e">
        <f t="array" aca="1" ref="B277" ca="1">_xludf.XLOOKUP(A277, 도서_정보[ID], 도서_정보[도서명], "")</f>
        <v>#NAME?</v>
      </c>
      <c r="C277" s="1" t="e">
        <f t="array" aca="1" ref="C277" ca="1">_xludf.XLOOKUP(A277, 도서_정보[ID], 도서_정보[작업 페이지], "")</f>
        <v>#NAME?</v>
      </c>
      <c r="D277" s="70" t="b">
        <v>0</v>
      </c>
      <c r="E277" s="70" t="b">
        <v>0</v>
      </c>
      <c r="F277" s="79" t="b">
        <v>0</v>
      </c>
      <c r="G277" s="70" t="b">
        <v>0</v>
      </c>
      <c r="H277" s="70" t="b">
        <v>0</v>
      </c>
      <c r="I277" s="70" t="b">
        <v>0</v>
      </c>
      <c r="J277" s="70" t="b">
        <v>0</v>
      </c>
      <c r="K277" s="79" t="b">
        <v>0</v>
      </c>
      <c r="L277" s="70" t="b">
        <v>0</v>
      </c>
      <c r="M277" s="70" t="b">
        <v>0</v>
      </c>
      <c r="N277" s="1"/>
    </row>
    <row r="278" spans="1:14" ht="22.5" customHeight="1">
      <c r="A278" s="1"/>
      <c r="B278" s="1" t="e">
        <f t="array" aca="1" ref="B278" ca="1">_xludf.XLOOKUP(A278, 도서_정보[ID], 도서_정보[도서명], "")</f>
        <v>#NAME?</v>
      </c>
      <c r="C278" s="1" t="e">
        <f t="array" aca="1" ref="C278" ca="1">_xludf.XLOOKUP(A278, 도서_정보[ID], 도서_정보[작업 페이지], "")</f>
        <v>#NAME?</v>
      </c>
      <c r="D278" s="70" t="b">
        <v>0</v>
      </c>
      <c r="E278" s="70" t="b">
        <v>0</v>
      </c>
      <c r="F278" s="79" t="b">
        <v>0</v>
      </c>
      <c r="G278" s="70" t="b">
        <v>0</v>
      </c>
      <c r="H278" s="70" t="b">
        <v>0</v>
      </c>
      <c r="I278" s="70" t="b">
        <v>0</v>
      </c>
      <c r="J278" s="70" t="b">
        <v>0</v>
      </c>
      <c r="K278" s="79" t="b">
        <v>0</v>
      </c>
      <c r="L278" s="70" t="b">
        <v>0</v>
      </c>
      <c r="M278" s="70" t="b">
        <v>0</v>
      </c>
      <c r="N278" s="1"/>
    </row>
    <row r="279" spans="1:14" ht="22.5" customHeight="1">
      <c r="A279" s="1"/>
      <c r="B279" s="1" t="e">
        <f t="array" aca="1" ref="B279" ca="1">_xludf.XLOOKUP(A279, 도서_정보[ID], 도서_정보[도서명], "")</f>
        <v>#NAME?</v>
      </c>
      <c r="C279" s="1" t="e">
        <f t="array" aca="1" ref="C279" ca="1">_xludf.XLOOKUP(A279, 도서_정보[ID], 도서_정보[작업 페이지], "")</f>
        <v>#NAME?</v>
      </c>
      <c r="D279" s="70" t="b">
        <v>0</v>
      </c>
      <c r="E279" s="70" t="b">
        <v>0</v>
      </c>
      <c r="F279" s="79" t="b">
        <v>0</v>
      </c>
      <c r="G279" s="70" t="b">
        <v>0</v>
      </c>
      <c r="H279" s="70" t="b">
        <v>0</v>
      </c>
      <c r="I279" s="70" t="b">
        <v>0</v>
      </c>
      <c r="J279" s="70" t="b">
        <v>0</v>
      </c>
      <c r="K279" s="79" t="b">
        <v>0</v>
      </c>
      <c r="L279" s="70" t="b">
        <v>0</v>
      </c>
      <c r="M279" s="70" t="b">
        <v>0</v>
      </c>
      <c r="N279" s="1"/>
    </row>
    <row r="280" spans="1:14" ht="22.5" customHeight="1">
      <c r="A280" s="1"/>
      <c r="B280" s="1" t="e">
        <f t="array" aca="1" ref="B280" ca="1">_xludf.XLOOKUP(A280, 도서_정보[ID], 도서_정보[도서명], "")</f>
        <v>#NAME?</v>
      </c>
      <c r="C280" s="1" t="e">
        <f t="array" aca="1" ref="C280" ca="1">_xludf.XLOOKUP(A280, 도서_정보[ID], 도서_정보[작업 페이지], "")</f>
        <v>#NAME?</v>
      </c>
      <c r="D280" s="70" t="b">
        <v>0</v>
      </c>
      <c r="E280" s="70" t="b">
        <v>0</v>
      </c>
      <c r="F280" s="79" t="b">
        <v>0</v>
      </c>
      <c r="G280" s="70" t="b">
        <v>0</v>
      </c>
      <c r="H280" s="70" t="b">
        <v>0</v>
      </c>
      <c r="I280" s="70" t="b">
        <v>0</v>
      </c>
      <c r="J280" s="70" t="b">
        <v>0</v>
      </c>
      <c r="K280" s="79" t="b">
        <v>0</v>
      </c>
      <c r="L280" s="70" t="b">
        <v>0</v>
      </c>
      <c r="M280" s="70" t="b">
        <v>0</v>
      </c>
      <c r="N280" s="1"/>
    </row>
    <row r="281" spans="1:14" ht="22.5" customHeight="1">
      <c r="A281" s="1"/>
      <c r="B281" s="1" t="e">
        <f t="array" aca="1" ref="B281" ca="1">_xludf.XLOOKUP(A281, 도서_정보[ID], 도서_정보[도서명], "")</f>
        <v>#NAME?</v>
      </c>
      <c r="C281" s="1" t="e">
        <f t="array" aca="1" ref="C281" ca="1">_xludf.XLOOKUP(A281, 도서_정보[ID], 도서_정보[작업 페이지], "")</f>
        <v>#NAME?</v>
      </c>
      <c r="D281" s="70" t="b">
        <v>0</v>
      </c>
      <c r="E281" s="70" t="b">
        <v>0</v>
      </c>
      <c r="F281" s="79" t="b">
        <v>0</v>
      </c>
      <c r="G281" s="70" t="b">
        <v>0</v>
      </c>
      <c r="H281" s="70" t="b">
        <v>0</v>
      </c>
      <c r="I281" s="70" t="b">
        <v>0</v>
      </c>
      <c r="J281" s="70" t="b">
        <v>0</v>
      </c>
      <c r="K281" s="79" t="b">
        <v>0</v>
      </c>
      <c r="L281" s="70" t="b">
        <v>0</v>
      </c>
      <c r="M281" s="70" t="b">
        <v>0</v>
      </c>
      <c r="N281" s="1"/>
    </row>
    <row r="282" spans="1:14" ht="22.5" customHeight="1">
      <c r="A282" s="1"/>
      <c r="B282" s="1" t="e">
        <f t="array" aca="1" ref="B282" ca="1">_xludf.XLOOKUP(A282, 도서_정보[ID], 도서_정보[도서명], "")</f>
        <v>#NAME?</v>
      </c>
      <c r="C282" s="1" t="e">
        <f t="array" aca="1" ref="C282" ca="1">_xludf.XLOOKUP(A282, 도서_정보[ID], 도서_정보[작업 페이지], "")</f>
        <v>#NAME?</v>
      </c>
      <c r="D282" s="70" t="b">
        <v>0</v>
      </c>
      <c r="E282" s="70" t="b">
        <v>0</v>
      </c>
      <c r="F282" s="79" t="b">
        <v>0</v>
      </c>
      <c r="G282" s="70" t="b">
        <v>0</v>
      </c>
      <c r="H282" s="70" t="b">
        <v>0</v>
      </c>
      <c r="I282" s="70" t="b">
        <v>0</v>
      </c>
      <c r="J282" s="70" t="b">
        <v>0</v>
      </c>
      <c r="K282" s="79" t="b">
        <v>0</v>
      </c>
      <c r="L282" s="70" t="b">
        <v>0</v>
      </c>
      <c r="M282" s="70" t="b">
        <v>0</v>
      </c>
      <c r="N282" s="1"/>
    </row>
    <row r="283" spans="1:14" ht="22.5" customHeight="1">
      <c r="A283" s="1"/>
      <c r="B283" s="1" t="e">
        <f t="array" aca="1" ref="B283" ca="1">_xludf.XLOOKUP(A283, 도서_정보[ID], 도서_정보[도서명], "")</f>
        <v>#NAME?</v>
      </c>
      <c r="C283" s="1" t="e">
        <f t="array" aca="1" ref="C283" ca="1">_xludf.XLOOKUP(A283, 도서_정보[ID], 도서_정보[작업 페이지], "")</f>
        <v>#NAME?</v>
      </c>
      <c r="D283" s="70" t="b">
        <v>0</v>
      </c>
      <c r="E283" s="70" t="b">
        <v>0</v>
      </c>
      <c r="F283" s="79" t="b">
        <v>0</v>
      </c>
      <c r="G283" s="70" t="b">
        <v>0</v>
      </c>
      <c r="H283" s="70" t="b">
        <v>0</v>
      </c>
      <c r="I283" s="70" t="b">
        <v>0</v>
      </c>
      <c r="J283" s="70" t="b">
        <v>0</v>
      </c>
      <c r="K283" s="79" t="b">
        <v>0</v>
      </c>
      <c r="L283" s="70" t="b">
        <v>0</v>
      </c>
      <c r="M283" s="70" t="b">
        <v>0</v>
      </c>
      <c r="N283" s="1"/>
    </row>
    <row r="284" spans="1:14" ht="22.5" customHeight="1">
      <c r="A284" s="1"/>
      <c r="B284" s="1" t="e">
        <f t="array" aca="1" ref="B284" ca="1">_xludf.XLOOKUP(A284, 도서_정보[ID], 도서_정보[도서명], "")</f>
        <v>#NAME?</v>
      </c>
      <c r="C284" s="1" t="e">
        <f t="array" aca="1" ref="C284" ca="1">_xludf.XLOOKUP(A284, 도서_정보[ID], 도서_정보[작업 페이지], "")</f>
        <v>#NAME?</v>
      </c>
      <c r="D284" s="70" t="b">
        <v>0</v>
      </c>
      <c r="E284" s="70" t="b">
        <v>0</v>
      </c>
      <c r="F284" s="79" t="b">
        <v>0</v>
      </c>
      <c r="G284" s="70" t="b">
        <v>0</v>
      </c>
      <c r="H284" s="70" t="b">
        <v>0</v>
      </c>
      <c r="I284" s="70" t="b">
        <v>0</v>
      </c>
      <c r="J284" s="70" t="b">
        <v>0</v>
      </c>
      <c r="K284" s="79" t="b">
        <v>0</v>
      </c>
      <c r="L284" s="70" t="b">
        <v>0</v>
      </c>
      <c r="M284" s="70" t="b">
        <v>0</v>
      </c>
      <c r="N284" s="1"/>
    </row>
    <row r="285" spans="1:14" ht="22.5" customHeight="1">
      <c r="A285" s="1"/>
      <c r="B285" s="1" t="e">
        <f t="array" aca="1" ref="B285" ca="1">_xludf.XLOOKUP(A285, 도서_정보[ID], 도서_정보[도서명], "")</f>
        <v>#NAME?</v>
      </c>
      <c r="C285" s="1" t="e">
        <f t="array" aca="1" ref="C285" ca="1">_xludf.XLOOKUP(A285, 도서_정보[ID], 도서_정보[작업 페이지], "")</f>
        <v>#NAME?</v>
      </c>
      <c r="D285" s="70" t="b">
        <v>0</v>
      </c>
      <c r="E285" s="70" t="b">
        <v>0</v>
      </c>
      <c r="F285" s="79" t="b">
        <v>0</v>
      </c>
      <c r="G285" s="70" t="b">
        <v>0</v>
      </c>
      <c r="H285" s="70" t="b">
        <v>0</v>
      </c>
      <c r="I285" s="70" t="b">
        <v>0</v>
      </c>
      <c r="J285" s="70" t="b">
        <v>0</v>
      </c>
      <c r="K285" s="79" t="b">
        <v>0</v>
      </c>
      <c r="L285" s="70" t="b">
        <v>0</v>
      </c>
      <c r="M285" s="70" t="b">
        <v>0</v>
      </c>
      <c r="N285" s="1"/>
    </row>
    <row r="286" spans="1:14" ht="22.5" customHeight="1">
      <c r="A286" s="1"/>
      <c r="B286" s="1" t="e">
        <f t="array" aca="1" ref="B286" ca="1">_xludf.XLOOKUP(A286, 도서_정보[ID], 도서_정보[도서명], "")</f>
        <v>#NAME?</v>
      </c>
      <c r="C286" s="1" t="e">
        <f t="array" aca="1" ref="C286" ca="1">_xludf.XLOOKUP(A286, 도서_정보[ID], 도서_정보[작업 페이지], "")</f>
        <v>#NAME?</v>
      </c>
      <c r="D286" s="70" t="b">
        <v>0</v>
      </c>
      <c r="E286" s="70" t="b">
        <v>0</v>
      </c>
      <c r="F286" s="79" t="b">
        <v>0</v>
      </c>
      <c r="G286" s="70" t="b">
        <v>0</v>
      </c>
      <c r="H286" s="70" t="b">
        <v>0</v>
      </c>
      <c r="I286" s="70" t="b">
        <v>0</v>
      </c>
      <c r="J286" s="70" t="b">
        <v>0</v>
      </c>
      <c r="K286" s="79" t="b">
        <v>0</v>
      </c>
      <c r="L286" s="70" t="b">
        <v>0</v>
      </c>
      <c r="M286" s="70" t="b">
        <v>0</v>
      </c>
      <c r="N286" s="1"/>
    </row>
    <row r="287" spans="1:14" ht="22.5" customHeight="1">
      <c r="A287" s="1"/>
      <c r="B287" s="1" t="e">
        <f t="array" aca="1" ref="B287" ca="1">_xludf.XLOOKUP(A287, 도서_정보[ID], 도서_정보[도서명], "")</f>
        <v>#NAME?</v>
      </c>
      <c r="C287" s="1" t="e">
        <f t="array" aca="1" ref="C287" ca="1">_xludf.XLOOKUP(A287, 도서_정보[ID], 도서_정보[작업 페이지], "")</f>
        <v>#NAME?</v>
      </c>
      <c r="D287" s="70" t="b">
        <v>0</v>
      </c>
      <c r="E287" s="70" t="b">
        <v>0</v>
      </c>
      <c r="F287" s="79" t="b">
        <v>0</v>
      </c>
      <c r="G287" s="70" t="b">
        <v>0</v>
      </c>
      <c r="H287" s="70" t="b">
        <v>0</v>
      </c>
      <c r="I287" s="70" t="b">
        <v>0</v>
      </c>
      <c r="J287" s="70" t="b">
        <v>0</v>
      </c>
      <c r="K287" s="79" t="b">
        <v>0</v>
      </c>
      <c r="L287" s="70" t="b">
        <v>0</v>
      </c>
      <c r="M287" s="70" t="b">
        <v>0</v>
      </c>
      <c r="N287" s="1"/>
    </row>
    <row r="288" spans="1:14" ht="22.5" customHeight="1">
      <c r="A288" s="1"/>
      <c r="B288" s="1" t="e">
        <f t="array" aca="1" ref="B288" ca="1">_xludf.XLOOKUP(A288, 도서_정보[ID], 도서_정보[도서명], "")</f>
        <v>#NAME?</v>
      </c>
      <c r="C288" s="1" t="e">
        <f t="array" aca="1" ref="C288" ca="1">_xludf.XLOOKUP(A288, 도서_정보[ID], 도서_정보[작업 페이지], "")</f>
        <v>#NAME?</v>
      </c>
      <c r="D288" s="70" t="b">
        <v>0</v>
      </c>
      <c r="E288" s="70" t="b">
        <v>0</v>
      </c>
      <c r="F288" s="79" t="b">
        <v>0</v>
      </c>
      <c r="G288" s="70" t="b">
        <v>0</v>
      </c>
      <c r="H288" s="70" t="b">
        <v>0</v>
      </c>
      <c r="I288" s="70" t="b">
        <v>0</v>
      </c>
      <c r="J288" s="70" t="b">
        <v>0</v>
      </c>
      <c r="K288" s="79" t="b">
        <v>0</v>
      </c>
      <c r="L288" s="70" t="b">
        <v>0</v>
      </c>
      <c r="M288" s="70" t="b">
        <v>0</v>
      </c>
      <c r="N288" s="1"/>
    </row>
    <row r="289" spans="1:14" ht="22.5" customHeight="1">
      <c r="A289" s="1"/>
      <c r="B289" s="1" t="e">
        <f t="array" aca="1" ref="B289" ca="1">_xludf.XLOOKUP(A289, 도서_정보[ID], 도서_정보[도서명], "")</f>
        <v>#NAME?</v>
      </c>
      <c r="C289" s="1" t="e">
        <f t="array" aca="1" ref="C289" ca="1">_xludf.XLOOKUP(A289, 도서_정보[ID], 도서_정보[작업 페이지], "")</f>
        <v>#NAME?</v>
      </c>
      <c r="D289" s="70" t="b">
        <v>0</v>
      </c>
      <c r="E289" s="70" t="b">
        <v>0</v>
      </c>
      <c r="F289" s="79" t="b">
        <v>0</v>
      </c>
      <c r="G289" s="70" t="b">
        <v>0</v>
      </c>
      <c r="H289" s="70" t="b">
        <v>0</v>
      </c>
      <c r="I289" s="70" t="b">
        <v>0</v>
      </c>
      <c r="J289" s="70" t="b">
        <v>0</v>
      </c>
      <c r="K289" s="79" t="b">
        <v>0</v>
      </c>
      <c r="L289" s="70" t="b">
        <v>0</v>
      </c>
      <c r="M289" s="70" t="b">
        <v>0</v>
      </c>
      <c r="N289" s="1"/>
    </row>
    <row r="290" spans="1:14" ht="22.5" customHeight="1">
      <c r="A290" s="1"/>
      <c r="B290" s="1" t="e">
        <f t="array" aca="1" ref="B290" ca="1">_xludf.XLOOKUP(A290, 도서_정보[ID], 도서_정보[도서명], "")</f>
        <v>#NAME?</v>
      </c>
      <c r="C290" s="1" t="e">
        <f t="array" aca="1" ref="C290" ca="1">_xludf.XLOOKUP(A290, 도서_정보[ID], 도서_정보[작업 페이지], "")</f>
        <v>#NAME?</v>
      </c>
      <c r="D290" s="70" t="b">
        <v>0</v>
      </c>
      <c r="E290" s="70" t="b">
        <v>0</v>
      </c>
      <c r="F290" s="79" t="b">
        <v>0</v>
      </c>
      <c r="G290" s="70" t="b">
        <v>0</v>
      </c>
      <c r="H290" s="70" t="b">
        <v>0</v>
      </c>
      <c r="I290" s="70" t="b">
        <v>0</v>
      </c>
      <c r="J290" s="70" t="b">
        <v>0</v>
      </c>
      <c r="K290" s="79" t="b">
        <v>0</v>
      </c>
      <c r="L290" s="70" t="b">
        <v>0</v>
      </c>
      <c r="M290" s="70" t="b">
        <v>0</v>
      </c>
      <c r="N290" s="1"/>
    </row>
    <row r="291" spans="1:14" ht="22.5" customHeight="1">
      <c r="A291" s="1"/>
      <c r="B291" s="1" t="e">
        <f t="array" aca="1" ref="B291" ca="1">_xludf.XLOOKUP(A291, 도서_정보[ID], 도서_정보[도서명], "")</f>
        <v>#NAME?</v>
      </c>
      <c r="C291" s="1" t="e">
        <f t="array" aca="1" ref="C291" ca="1">_xludf.XLOOKUP(A291, 도서_정보[ID], 도서_정보[작업 페이지], "")</f>
        <v>#NAME?</v>
      </c>
      <c r="D291" s="70" t="b">
        <v>0</v>
      </c>
      <c r="E291" s="70" t="b">
        <v>0</v>
      </c>
      <c r="F291" s="79" t="b">
        <v>0</v>
      </c>
      <c r="G291" s="70" t="b">
        <v>0</v>
      </c>
      <c r="H291" s="70" t="b">
        <v>0</v>
      </c>
      <c r="I291" s="70" t="b">
        <v>0</v>
      </c>
      <c r="J291" s="70" t="b">
        <v>0</v>
      </c>
      <c r="K291" s="79" t="b">
        <v>0</v>
      </c>
      <c r="L291" s="70" t="b">
        <v>0</v>
      </c>
      <c r="M291" s="70" t="b">
        <v>0</v>
      </c>
      <c r="N291" s="1"/>
    </row>
    <row r="292" spans="1:14" ht="22.5" customHeight="1">
      <c r="A292" s="1"/>
      <c r="B292" s="1" t="e">
        <f t="array" aca="1" ref="B292" ca="1">_xludf.XLOOKUP(A292, 도서_정보[ID], 도서_정보[도서명], "")</f>
        <v>#NAME?</v>
      </c>
      <c r="C292" s="1" t="e">
        <f t="array" aca="1" ref="C292" ca="1">_xludf.XLOOKUP(A292, 도서_정보[ID], 도서_정보[작업 페이지], "")</f>
        <v>#NAME?</v>
      </c>
      <c r="D292" s="70" t="b">
        <v>0</v>
      </c>
      <c r="E292" s="70" t="b">
        <v>0</v>
      </c>
      <c r="F292" s="79" t="b">
        <v>0</v>
      </c>
      <c r="G292" s="70" t="b">
        <v>0</v>
      </c>
      <c r="H292" s="70" t="b">
        <v>0</v>
      </c>
      <c r="I292" s="70" t="b">
        <v>0</v>
      </c>
      <c r="J292" s="70" t="b">
        <v>0</v>
      </c>
      <c r="K292" s="79" t="b">
        <v>0</v>
      </c>
      <c r="L292" s="70" t="b">
        <v>0</v>
      </c>
      <c r="M292" s="70" t="b">
        <v>0</v>
      </c>
      <c r="N292" s="1"/>
    </row>
    <row r="293" spans="1:14" ht="22.5" customHeight="1">
      <c r="A293" s="1"/>
      <c r="B293" s="1" t="e">
        <f t="array" aca="1" ref="B293" ca="1">_xludf.XLOOKUP(A293, 도서_정보[ID], 도서_정보[도서명], "")</f>
        <v>#NAME?</v>
      </c>
      <c r="C293" s="1" t="e">
        <f t="array" aca="1" ref="C293" ca="1">_xludf.XLOOKUP(A293, 도서_정보[ID], 도서_정보[작업 페이지], "")</f>
        <v>#NAME?</v>
      </c>
      <c r="D293" s="70" t="b">
        <v>0</v>
      </c>
      <c r="E293" s="70" t="b">
        <v>0</v>
      </c>
      <c r="F293" s="79" t="b">
        <v>0</v>
      </c>
      <c r="G293" s="70" t="b">
        <v>0</v>
      </c>
      <c r="H293" s="70" t="b">
        <v>0</v>
      </c>
      <c r="I293" s="70" t="b">
        <v>0</v>
      </c>
      <c r="J293" s="70" t="b">
        <v>0</v>
      </c>
      <c r="K293" s="79" t="b">
        <v>0</v>
      </c>
      <c r="L293" s="70" t="b">
        <v>0</v>
      </c>
      <c r="M293" s="70" t="b">
        <v>0</v>
      </c>
      <c r="N293" s="1"/>
    </row>
    <row r="294" spans="1:14" ht="22.5" customHeight="1">
      <c r="A294" s="1"/>
      <c r="B294" s="1" t="e">
        <f t="array" aca="1" ref="B294" ca="1">_xludf.XLOOKUP(A294, 도서_정보[ID], 도서_정보[도서명], "")</f>
        <v>#NAME?</v>
      </c>
      <c r="C294" s="1" t="e">
        <f t="array" aca="1" ref="C294" ca="1">_xludf.XLOOKUP(A294, 도서_정보[ID], 도서_정보[작업 페이지], "")</f>
        <v>#NAME?</v>
      </c>
      <c r="D294" s="70" t="b">
        <v>0</v>
      </c>
      <c r="E294" s="70" t="b">
        <v>0</v>
      </c>
      <c r="F294" s="79" t="b">
        <v>0</v>
      </c>
      <c r="G294" s="70" t="b">
        <v>0</v>
      </c>
      <c r="H294" s="70" t="b">
        <v>0</v>
      </c>
      <c r="I294" s="70" t="b">
        <v>0</v>
      </c>
      <c r="J294" s="70" t="b">
        <v>0</v>
      </c>
      <c r="K294" s="79" t="b">
        <v>0</v>
      </c>
      <c r="L294" s="70" t="b">
        <v>0</v>
      </c>
      <c r="M294" s="70" t="b">
        <v>0</v>
      </c>
      <c r="N294" s="1"/>
    </row>
    <row r="295" spans="1:14" ht="22.5" customHeight="1">
      <c r="A295" s="1"/>
      <c r="B295" s="1" t="e">
        <f t="array" aca="1" ref="B295" ca="1">_xludf.XLOOKUP(A295, 도서_정보[ID], 도서_정보[도서명], "")</f>
        <v>#NAME?</v>
      </c>
      <c r="C295" s="1" t="e">
        <f t="array" aca="1" ref="C295" ca="1">_xludf.XLOOKUP(A295, 도서_정보[ID], 도서_정보[작업 페이지], "")</f>
        <v>#NAME?</v>
      </c>
      <c r="D295" s="70" t="b">
        <v>0</v>
      </c>
      <c r="E295" s="70" t="b">
        <v>0</v>
      </c>
      <c r="F295" s="79" t="b">
        <v>0</v>
      </c>
      <c r="G295" s="70" t="b">
        <v>0</v>
      </c>
      <c r="H295" s="70" t="b">
        <v>0</v>
      </c>
      <c r="I295" s="70" t="b">
        <v>0</v>
      </c>
      <c r="J295" s="70" t="b">
        <v>0</v>
      </c>
      <c r="K295" s="79" t="b">
        <v>0</v>
      </c>
      <c r="L295" s="70" t="b">
        <v>0</v>
      </c>
      <c r="M295" s="70" t="b">
        <v>0</v>
      </c>
      <c r="N295" s="1"/>
    </row>
    <row r="296" spans="1:14" ht="22.5" customHeight="1">
      <c r="A296" s="1"/>
      <c r="B296" s="1" t="e">
        <f t="array" aca="1" ref="B296" ca="1">_xludf.XLOOKUP(A296, 도서_정보[ID], 도서_정보[도서명], "")</f>
        <v>#NAME?</v>
      </c>
      <c r="C296" s="1" t="e">
        <f t="array" aca="1" ref="C296" ca="1">_xludf.XLOOKUP(A296, 도서_정보[ID], 도서_정보[작업 페이지], "")</f>
        <v>#NAME?</v>
      </c>
      <c r="D296" s="70" t="b">
        <v>0</v>
      </c>
      <c r="E296" s="70" t="b">
        <v>0</v>
      </c>
      <c r="F296" s="79" t="b">
        <v>0</v>
      </c>
      <c r="G296" s="70" t="b">
        <v>0</v>
      </c>
      <c r="H296" s="70" t="b">
        <v>0</v>
      </c>
      <c r="I296" s="70" t="b">
        <v>0</v>
      </c>
      <c r="J296" s="70" t="b">
        <v>0</v>
      </c>
      <c r="K296" s="79" t="b">
        <v>0</v>
      </c>
      <c r="L296" s="70" t="b">
        <v>0</v>
      </c>
      <c r="M296" s="70" t="b">
        <v>0</v>
      </c>
      <c r="N296" s="1"/>
    </row>
    <row r="297" spans="1:14" ht="22.5" customHeight="1">
      <c r="A297" s="1"/>
      <c r="B297" s="1" t="e">
        <f t="array" aca="1" ref="B297" ca="1">_xludf.XLOOKUP(A297, 도서_정보[ID], 도서_정보[도서명], "")</f>
        <v>#NAME?</v>
      </c>
      <c r="C297" s="1" t="e">
        <f t="array" aca="1" ref="C297" ca="1">_xludf.XLOOKUP(A297, 도서_정보[ID], 도서_정보[작업 페이지], "")</f>
        <v>#NAME?</v>
      </c>
      <c r="D297" s="70" t="b">
        <v>0</v>
      </c>
      <c r="E297" s="70" t="b">
        <v>0</v>
      </c>
      <c r="F297" s="79" t="b">
        <v>0</v>
      </c>
      <c r="G297" s="70" t="b">
        <v>0</v>
      </c>
      <c r="H297" s="70" t="b">
        <v>0</v>
      </c>
      <c r="I297" s="70" t="b">
        <v>0</v>
      </c>
      <c r="J297" s="70" t="b">
        <v>0</v>
      </c>
      <c r="K297" s="79" t="b">
        <v>0</v>
      </c>
      <c r="L297" s="70" t="b">
        <v>0</v>
      </c>
      <c r="M297" s="70" t="b">
        <v>0</v>
      </c>
      <c r="N297" s="1"/>
    </row>
    <row r="298" spans="1:14" ht="22.5" customHeight="1">
      <c r="A298" s="1"/>
      <c r="B298" s="1" t="e">
        <f t="array" aca="1" ref="B298" ca="1">_xludf.XLOOKUP(A298, 도서_정보[ID], 도서_정보[도서명], "")</f>
        <v>#NAME?</v>
      </c>
      <c r="C298" s="1" t="e">
        <f t="array" aca="1" ref="C298" ca="1">_xludf.XLOOKUP(A298, 도서_정보[ID], 도서_정보[작업 페이지], "")</f>
        <v>#NAME?</v>
      </c>
      <c r="D298" s="70" t="b">
        <v>0</v>
      </c>
      <c r="E298" s="70" t="b">
        <v>0</v>
      </c>
      <c r="F298" s="79" t="b">
        <v>0</v>
      </c>
      <c r="G298" s="70" t="b">
        <v>0</v>
      </c>
      <c r="H298" s="70" t="b">
        <v>0</v>
      </c>
      <c r="I298" s="70" t="b">
        <v>0</v>
      </c>
      <c r="J298" s="70" t="b">
        <v>0</v>
      </c>
      <c r="K298" s="79" t="b">
        <v>0</v>
      </c>
      <c r="L298" s="70" t="b">
        <v>0</v>
      </c>
      <c r="M298" s="70" t="b">
        <v>0</v>
      </c>
      <c r="N298" s="1"/>
    </row>
    <row r="299" spans="1:14" ht="22.5" customHeight="1">
      <c r="A299" s="1"/>
      <c r="B299" s="1" t="e">
        <f t="array" aca="1" ref="B299" ca="1">_xludf.XLOOKUP(A299, 도서_정보[ID], 도서_정보[도서명], "")</f>
        <v>#NAME?</v>
      </c>
      <c r="C299" s="1" t="e">
        <f t="array" aca="1" ref="C299" ca="1">_xludf.XLOOKUP(A299, 도서_정보[ID], 도서_정보[작업 페이지], "")</f>
        <v>#NAME?</v>
      </c>
      <c r="D299" s="70" t="b">
        <v>0</v>
      </c>
      <c r="E299" s="70" t="b">
        <v>0</v>
      </c>
      <c r="F299" s="79" t="b">
        <v>0</v>
      </c>
      <c r="G299" s="70" t="b">
        <v>0</v>
      </c>
      <c r="H299" s="70" t="b">
        <v>0</v>
      </c>
      <c r="I299" s="70" t="b">
        <v>0</v>
      </c>
      <c r="J299" s="70" t="b">
        <v>0</v>
      </c>
      <c r="K299" s="79" t="b">
        <v>0</v>
      </c>
      <c r="L299" s="70" t="b">
        <v>0</v>
      </c>
      <c r="M299" s="70" t="b">
        <v>0</v>
      </c>
      <c r="N299" s="1"/>
    </row>
    <row r="300" spans="1:14" ht="22.5" customHeight="1">
      <c r="A300" s="1"/>
      <c r="B300" s="1" t="e">
        <f t="array" aca="1" ref="B300" ca="1">_xludf.XLOOKUP(A300, 도서_정보[ID], 도서_정보[도서명], "")</f>
        <v>#NAME?</v>
      </c>
      <c r="C300" s="1" t="e">
        <f t="array" aca="1" ref="C300" ca="1">_xludf.XLOOKUP(A300, 도서_정보[ID], 도서_정보[작업 페이지], "")</f>
        <v>#NAME?</v>
      </c>
      <c r="D300" s="70" t="b">
        <v>0</v>
      </c>
      <c r="E300" s="70" t="b">
        <v>0</v>
      </c>
      <c r="F300" s="79" t="b">
        <v>0</v>
      </c>
      <c r="G300" s="70" t="b">
        <v>0</v>
      </c>
      <c r="H300" s="70" t="b">
        <v>0</v>
      </c>
      <c r="I300" s="70" t="b">
        <v>0</v>
      </c>
      <c r="J300" s="70" t="b">
        <v>0</v>
      </c>
      <c r="K300" s="79" t="b">
        <v>0</v>
      </c>
      <c r="L300" s="70" t="b">
        <v>0</v>
      </c>
      <c r="M300" s="70" t="b">
        <v>0</v>
      </c>
      <c r="N300" s="1"/>
    </row>
    <row r="301" spans="1:14" ht="22.5" customHeight="1">
      <c r="A301" s="1"/>
      <c r="B301" s="1" t="e">
        <f t="array" aca="1" ref="B301" ca="1">_xludf.XLOOKUP(A301, 도서_정보[ID], 도서_정보[도서명], "")</f>
        <v>#NAME?</v>
      </c>
      <c r="C301" s="1" t="e">
        <f t="array" aca="1" ref="C301" ca="1">_xludf.XLOOKUP(A301, 도서_정보[ID], 도서_정보[작업 페이지], "")</f>
        <v>#NAME?</v>
      </c>
      <c r="D301" s="70" t="b">
        <v>0</v>
      </c>
      <c r="E301" s="70" t="b">
        <v>0</v>
      </c>
      <c r="F301" s="79" t="b">
        <v>0</v>
      </c>
      <c r="G301" s="70" t="b">
        <v>0</v>
      </c>
      <c r="H301" s="70" t="b">
        <v>0</v>
      </c>
      <c r="I301" s="70" t="b">
        <v>0</v>
      </c>
      <c r="J301" s="70" t="b">
        <v>0</v>
      </c>
      <c r="K301" s="79" t="b">
        <v>0</v>
      </c>
      <c r="L301" s="70" t="b">
        <v>0</v>
      </c>
      <c r="M301" s="70" t="b">
        <v>0</v>
      </c>
      <c r="N301" s="1"/>
    </row>
    <row r="302" spans="1:14" ht="22.5" customHeight="1">
      <c r="A302" s="1"/>
      <c r="B302" s="1" t="e">
        <f t="array" aca="1" ref="B302" ca="1">_xludf.XLOOKUP(A302, 도서_정보[ID], 도서_정보[도서명], "")</f>
        <v>#NAME?</v>
      </c>
      <c r="C302" s="1" t="e">
        <f t="array" aca="1" ref="C302" ca="1">_xludf.XLOOKUP(A302, 도서_정보[ID], 도서_정보[작업 페이지], "")</f>
        <v>#NAME?</v>
      </c>
      <c r="D302" s="70" t="b">
        <v>0</v>
      </c>
      <c r="E302" s="70" t="b">
        <v>0</v>
      </c>
      <c r="F302" s="79" t="b">
        <v>0</v>
      </c>
      <c r="G302" s="70" t="b">
        <v>0</v>
      </c>
      <c r="H302" s="70" t="b">
        <v>0</v>
      </c>
      <c r="I302" s="70" t="b">
        <v>0</v>
      </c>
      <c r="J302" s="70" t="b">
        <v>0</v>
      </c>
      <c r="K302" s="79" t="b">
        <v>0</v>
      </c>
      <c r="L302" s="70" t="b">
        <v>0</v>
      </c>
      <c r="M302" s="70" t="b">
        <v>0</v>
      </c>
      <c r="N302" s="1"/>
    </row>
    <row r="303" spans="1:14" ht="22.5" customHeight="1">
      <c r="A303" s="1"/>
      <c r="B303" s="1" t="e">
        <f t="array" aca="1" ref="B303" ca="1">_xludf.XLOOKUP(A303, 도서_정보[ID], 도서_정보[도서명], "")</f>
        <v>#NAME?</v>
      </c>
      <c r="C303" s="1" t="e">
        <f t="array" aca="1" ref="C303" ca="1">_xludf.XLOOKUP(A303, 도서_정보[ID], 도서_정보[작업 페이지], "")</f>
        <v>#NAME?</v>
      </c>
      <c r="D303" s="70" t="b">
        <v>0</v>
      </c>
      <c r="E303" s="70" t="b">
        <v>0</v>
      </c>
      <c r="F303" s="79" t="b">
        <v>0</v>
      </c>
      <c r="G303" s="70" t="b">
        <v>0</v>
      </c>
      <c r="H303" s="70" t="b">
        <v>0</v>
      </c>
      <c r="I303" s="70" t="b">
        <v>0</v>
      </c>
      <c r="J303" s="70" t="b">
        <v>0</v>
      </c>
      <c r="K303" s="79" t="b">
        <v>0</v>
      </c>
      <c r="L303" s="70" t="b">
        <v>0</v>
      </c>
      <c r="M303" s="70" t="b">
        <v>0</v>
      </c>
      <c r="N303" s="1"/>
    </row>
    <row r="304" spans="1:14" ht="22.5" customHeight="1">
      <c r="A304" s="1"/>
      <c r="B304" s="1" t="e">
        <f t="array" aca="1" ref="B304" ca="1">_xludf.XLOOKUP(A304, 도서_정보[ID], 도서_정보[도서명], "")</f>
        <v>#NAME?</v>
      </c>
      <c r="C304" s="1" t="e">
        <f t="array" aca="1" ref="C304" ca="1">_xludf.XLOOKUP(A304, 도서_정보[ID], 도서_정보[작업 페이지], "")</f>
        <v>#NAME?</v>
      </c>
      <c r="D304" s="70" t="b">
        <v>0</v>
      </c>
      <c r="E304" s="70" t="b">
        <v>0</v>
      </c>
      <c r="F304" s="79" t="b">
        <v>0</v>
      </c>
      <c r="G304" s="70" t="b">
        <v>0</v>
      </c>
      <c r="H304" s="70" t="b">
        <v>0</v>
      </c>
      <c r="I304" s="70" t="b">
        <v>0</v>
      </c>
      <c r="J304" s="70" t="b">
        <v>0</v>
      </c>
      <c r="K304" s="79" t="b">
        <v>0</v>
      </c>
      <c r="L304" s="70" t="b">
        <v>0</v>
      </c>
      <c r="M304" s="70" t="b">
        <v>0</v>
      </c>
      <c r="N304" s="1"/>
    </row>
    <row r="305" spans="1:14" ht="22.5" customHeight="1">
      <c r="A305" s="1"/>
      <c r="B305" s="1" t="e">
        <f t="array" aca="1" ref="B305" ca="1">_xludf.XLOOKUP(A305, 도서_정보[ID], 도서_정보[도서명], "")</f>
        <v>#NAME?</v>
      </c>
      <c r="C305" s="1" t="e">
        <f t="array" aca="1" ref="C305" ca="1">_xludf.XLOOKUP(A305, 도서_정보[ID], 도서_정보[작업 페이지], "")</f>
        <v>#NAME?</v>
      </c>
      <c r="D305" s="70" t="b">
        <v>0</v>
      </c>
      <c r="E305" s="70" t="b">
        <v>0</v>
      </c>
      <c r="F305" s="79" t="b">
        <v>0</v>
      </c>
      <c r="G305" s="70" t="b">
        <v>0</v>
      </c>
      <c r="H305" s="70" t="b">
        <v>0</v>
      </c>
      <c r="I305" s="70" t="b">
        <v>0</v>
      </c>
      <c r="J305" s="70" t="b">
        <v>0</v>
      </c>
      <c r="K305" s="79" t="b">
        <v>0</v>
      </c>
      <c r="L305" s="70" t="b">
        <v>0</v>
      </c>
      <c r="M305" s="70" t="b">
        <v>0</v>
      </c>
      <c r="N305" s="1"/>
    </row>
    <row r="306" spans="1:14" ht="22.5" customHeight="1">
      <c r="A306" s="1"/>
      <c r="B306" s="1" t="e">
        <f t="array" aca="1" ref="B306" ca="1">_xludf.XLOOKUP(A306, 도서_정보[ID], 도서_정보[도서명], "")</f>
        <v>#NAME?</v>
      </c>
      <c r="C306" s="1" t="e">
        <f t="array" aca="1" ref="C306" ca="1">_xludf.XLOOKUP(A306, 도서_정보[ID], 도서_정보[작업 페이지], "")</f>
        <v>#NAME?</v>
      </c>
      <c r="D306" s="70" t="b">
        <v>0</v>
      </c>
      <c r="E306" s="70" t="b">
        <v>0</v>
      </c>
      <c r="F306" s="79" t="b">
        <v>0</v>
      </c>
      <c r="G306" s="70" t="b">
        <v>0</v>
      </c>
      <c r="H306" s="70" t="b">
        <v>0</v>
      </c>
      <c r="I306" s="70" t="b">
        <v>0</v>
      </c>
      <c r="J306" s="70" t="b">
        <v>0</v>
      </c>
      <c r="K306" s="79" t="b">
        <v>0</v>
      </c>
      <c r="L306" s="70" t="b">
        <v>0</v>
      </c>
      <c r="M306" s="70" t="b">
        <v>0</v>
      </c>
      <c r="N306" s="1"/>
    </row>
    <row r="307" spans="1:14" ht="22.5" customHeight="1">
      <c r="A307" s="1"/>
      <c r="B307" s="1" t="e">
        <f t="array" aca="1" ref="B307" ca="1">_xludf.XLOOKUP(A307, 도서_정보[ID], 도서_정보[도서명], "")</f>
        <v>#NAME?</v>
      </c>
      <c r="C307" s="1" t="e">
        <f t="array" aca="1" ref="C307" ca="1">_xludf.XLOOKUP(A307, 도서_정보[ID], 도서_정보[작업 페이지], "")</f>
        <v>#NAME?</v>
      </c>
      <c r="D307" s="70" t="b">
        <v>0</v>
      </c>
      <c r="E307" s="70" t="b">
        <v>0</v>
      </c>
      <c r="F307" s="79" t="b">
        <v>0</v>
      </c>
      <c r="G307" s="70" t="b">
        <v>0</v>
      </c>
      <c r="H307" s="70" t="b">
        <v>0</v>
      </c>
      <c r="I307" s="70" t="b">
        <v>0</v>
      </c>
      <c r="J307" s="70" t="b">
        <v>0</v>
      </c>
      <c r="K307" s="79" t="b">
        <v>0</v>
      </c>
      <c r="L307" s="70" t="b">
        <v>0</v>
      </c>
      <c r="M307" s="70" t="b">
        <v>0</v>
      </c>
      <c r="N307" s="1"/>
    </row>
    <row r="308" spans="1:14" ht="22.5" customHeight="1">
      <c r="A308" s="1"/>
      <c r="B308" s="1" t="e">
        <f t="array" aca="1" ref="B308" ca="1">_xludf.XLOOKUP(A308, 도서_정보[ID], 도서_정보[도서명], "")</f>
        <v>#NAME?</v>
      </c>
      <c r="C308" s="1" t="e">
        <f t="array" aca="1" ref="C308" ca="1">_xludf.XLOOKUP(A308, 도서_정보[ID], 도서_정보[작업 페이지], "")</f>
        <v>#NAME?</v>
      </c>
      <c r="D308" s="70" t="b">
        <v>0</v>
      </c>
      <c r="E308" s="70" t="b">
        <v>0</v>
      </c>
      <c r="F308" s="79" t="b">
        <v>0</v>
      </c>
      <c r="G308" s="70" t="b">
        <v>0</v>
      </c>
      <c r="H308" s="70" t="b">
        <v>0</v>
      </c>
      <c r="I308" s="70" t="b">
        <v>0</v>
      </c>
      <c r="J308" s="70" t="b">
        <v>0</v>
      </c>
      <c r="K308" s="79" t="b">
        <v>0</v>
      </c>
      <c r="L308" s="70" t="b">
        <v>0</v>
      </c>
      <c r="M308" s="70" t="b">
        <v>0</v>
      </c>
      <c r="N308" s="1"/>
    </row>
    <row r="309" spans="1:14" ht="22.5" customHeight="1">
      <c r="A309" s="1"/>
      <c r="B309" s="1" t="e">
        <f t="array" aca="1" ref="B309" ca="1">_xludf.XLOOKUP(A309, 도서_정보[ID], 도서_정보[도서명], "")</f>
        <v>#NAME?</v>
      </c>
      <c r="C309" s="1" t="e">
        <f t="array" aca="1" ref="C309" ca="1">_xludf.XLOOKUP(A309, 도서_정보[ID], 도서_정보[작업 페이지], "")</f>
        <v>#NAME?</v>
      </c>
      <c r="D309" s="70" t="b">
        <v>0</v>
      </c>
      <c r="E309" s="70" t="b">
        <v>0</v>
      </c>
      <c r="F309" s="79" t="b">
        <v>0</v>
      </c>
      <c r="G309" s="70" t="b">
        <v>0</v>
      </c>
      <c r="H309" s="70" t="b">
        <v>0</v>
      </c>
      <c r="I309" s="70" t="b">
        <v>0</v>
      </c>
      <c r="J309" s="70" t="b">
        <v>0</v>
      </c>
      <c r="K309" s="79" t="b">
        <v>0</v>
      </c>
      <c r="L309" s="70" t="b">
        <v>0</v>
      </c>
      <c r="M309" s="70" t="b">
        <v>0</v>
      </c>
      <c r="N309" s="1"/>
    </row>
    <row r="310" spans="1:14" ht="22.5" customHeight="1">
      <c r="A310" s="1"/>
      <c r="B310" s="1" t="e">
        <f t="array" aca="1" ref="B310" ca="1">_xludf.XLOOKUP(A310, 도서_정보[ID], 도서_정보[도서명], "")</f>
        <v>#NAME?</v>
      </c>
      <c r="C310" s="1" t="e">
        <f t="array" aca="1" ref="C310" ca="1">_xludf.XLOOKUP(A310, 도서_정보[ID], 도서_정보[작업 페이지], "")</f>
        <v>#NAME?</v>
      </c>
      <c r="D310" s="70" t="b">
        <v>0</v>
      </c>
      <c r="E310" s="70" t="b">
        <v>0</v>
      </c>
      <c r="F310" s="79" t="b">
        <v>0</v>
      </c>
      <c r="G310" s="70" t="b">
        <v>0</v>
      </c>
      <c r="H310" s="70" t="b">
        <v>0</v>
      </c>
      <c r="I310" s="70" t="b">
        <v>0</v>
      </c>
      <c r="J310" s="70" t="b">
        <v>0</v>
      </c>
      <c r="K310" s="79" t="b">
        <v>0</v>
      </c>
      <c r="L310" s="70" t="b">
        <v>0</v>
      </c>
      <c r="M310" s="70" t="b">
        <v>0</v>
      </c>
      <c r="N310" s="1"/>
    </row>
    <row r="311" spans="1:14" ht="22.5" customHeight="1">
      <c r="A311" s="1"/>
      <c r="B311" s="1" t="e">
        <f t="array" aca="1" ref="B311" ca="1">_xludf.XLOOKUP(A311, 도서_정보[ID], 도서_정보[도서명], "")</f>
        <v>#NAME?</v>
      </c>
      <c r="C311" s="1" t="e">
        <f t="array" aca="1" ref="C311" ca="1">_xludf.XLOOKUP(A311, 도서_정보[ID], 도서_정보[작업 페이지], "")</f>
        <v>#NAME?</v>
      </c>
      <c r="D311" s="70" t="b">
        <v>0</v>
      </c>
      <c r="E311" s="70" t="b">
        <v>0</v>
      </c>
      <c r="F311" s="79" t="b">
        <v>0</v>
      </c>
      <c r="G311" s="70" t="b">
        <v>0</v>
      </c>
      <c r="H311" s="70" t="b">
        <v>0</v>
      </c>
      <c r="I311" s="70" t="b">
        <v>0</v>
      </c>
      <c r="J311" s="70" t="b">
        <v>0</v>
      </c>
      <c r="K311" s="79" t="b">
        <v>0</v>
      </c>
      <c r="L311" s="70" t="b">
        <v>0</v>
      </c>
      <c r="M311" s="70" t="b">
        <v>0</v>
      </c>
      <c r="N311" s="1"/>
    </row>
    <row r="312" spans="1:14" ht="22.5" customHeight="1">
      <c r="A312" s="1"/>
      <c r="B312" s="1" t="e">
        <f t="array" aca="1" ref="B312" ca="1">_xludf.XLOOKUP(A312, 도서_정보[ID], 도서_정보[도서명], "")</f>
        <v>#NAME?</v>
      </c>
      <c r="C312" s="1" t="e">
        <f t="array" aca="1" ref="C312" ca="1">_xludf.XLOOKUP(A312, 도서_정보[ID], 도서_정보[작업 페이지], "")</f>
        <v>#NAME?</v>
      </c>
      <c r="D312" s="70" t="b">
        <v>0</v>
      </c>
      <c r="E312" s="70" t="b">
        <v>0</v>
      </c>
      <c r="F312" s="79" t="b">
        <v>0</v>
      </c>
      <c r="G312" s="70" t="b">
        <v>0</v>
      </c>
      <c r="H312" s="70" t="b">
        <v>0</v>
      </c>
      <c r="I312" s="70" t="b">
        <v>0</v>
      </c>
      <c r="J312" s="70" t="b">
        <v>0</v>
      </c>
      <c r="K312" s="79" t="b">
        <v>0</v>
      </c>
      <c r="L312" s="70" t="b">
        <v>0</v>
      </c>
      <c r="M312" s="70" t="b">
        <v>0</v>
      </c>
      <c r="N312" s="1"/>
    </row>
    <row r="313" spans="1:14" ht="22.5" customHeight="1">
      <c r="A313" s="1"/>
      <c r="B313" s="1" t="e">
        <f t="array" aca="1" ref="B313" ca="1">_xludf.XLOOKUP(A313, 도서_정보[ID], 도서_정보[도서명], "")</f>
        <v>#NAME?</v>
      </c>
      <c r="C313" s="1" t="e">
        <f t="array" aca="1" ref="C313" ca="1">_xludf.XLOOKUP(A313, 도서_정보[ID], 도서_정보[작업 페이지], "")</f>
        <v>#NAME?</v>
      </c>
      <c r="D313" s="70" t="b">
        <v>0</v>
      </c>
      <c r="E313" s="70" t="b">
        <v>0</v>
      </c>
      <c r="F313" s="79" t="b">
        <v>0</v>
      </c>
      <c r="G313" s="70" t="b">
        <v>0</v>
      </c>
      <c r="H313" s="70" t="b">
        <v>0</v>
      </c>
      <c r="I313" s="70" t="b">
        <v>0</v>
      </c>
      <c r="J313" s="70" t="b">
        <v>0</v>
      </c>
      <c r="K313" s="79" t="b">
        <v>0</v>
      </c>
      <c r="L313" s="70" t="b">
        <v>0</v>
      </c>
      <c r="M313" s="70" t="b">
        <v>0</v>
      </c>
      <c r="N313" s="1"/>
    </row>
    <row r="314" spans="1:14" ht="22.5" customHeight="1">
      <c r="A314" s="1"/>
      <c r="B314" s="1" t="e">
        <f t="array" aca="1" ref="B314" ca="1">_xludf.XLOOKUP(A314, 도서_정보[ID], 도서_정보[도서명], "")</f>
        <v>#NAME?</v>
      </c>
      <c r="C314" s="1" t="e">
        <f t="array" aca="1" ref="C314" ca="1">_xludf.XLOOKUP(A314, 도서_정보[ID], 도서_정보[작업 페이지], "")</f>
        <v>#NAME?</v>
      </c>
      <c r="D314" s="70" t="b">
        <v>0</v>
      </c>
      <c r="E314" s="70" t="b">
        <v>0</v>
      </c>
      <c r="F314" s="79" t="b">
        <v>0</v>
      </c>
      <c r="G314" s="70" t="b">
        <v>0</v>
      </c>
      <c r="H314" s="70" t="b">
        <v>0</v>
      </c>
      <c r="I314" s="70" t="b">
        <v>0</v>
      </c>
      <c r="J314" s="70" t="b">
        <v>0</v>
      </c>
      <c r="K314" s="79" t="b">
        <v>0</v>
      </c>
      <c r="L314" s="70" t="b">
        <v>0</v>
      </c>
      <c r="M314" s="70" t="b">
        <v>0</v>
      </c>
      <c r="N314" s="1"/>
    </row>
    <row r="315" spans="1:14" ht="22.5" customHeight="1">
      <c r="A315" s="1"/>
      <c r="B315" s="1" t="e">
        <f t="array" aca="1" ref="B315" ca="1">_xludf.XLOOKUP(A315, 도서_정보[ID], 도서_정보[도서명], "")</f>
        <v>#NAME?</v>
      </c>
      <c r="C315" s="1" t="e">
        <f t="array" aca="1" ref="C315" ca="1">_xludf.XLOOKUP(A315, 도서_정보[ID], 도서_정보[작업 페이지], "")</f>
        <v>#NAME?</v>
      </c>
      <c r="D315" s="70" t="b">
        <v>0</v>
      </c>
      <c r="E315" s="70" t="b">
        <v>0</v>
      </c>
      <c r="F315" s="79" t="b">
        <v>0</v>
      </c>
      <c r="G315" s="70" t="b">
        <v>0</v>
      </c>
      <c r="H315" s="70" t="b">
        <v>0</v>
      </c>
      <c r="I315" s="70" t="b">
        <v>0</v>
      </c>
      <c r="J315" s="70" t="b">
        <v>0</v>
      </c>
      <c r="K315" s="79" t="b">
        <v>0</v>
      </c>
      <c r="L315" s="70" t="b">
        <v>0</v>
      </c>
      <c r="M315" s="70" t="b">
        <v>0</v>
      </c>
      <c r="N315" s="1"/>
    </row>
    <row r="316" spans="1:14" ht="22.5" customHeight="1">
      <c r="A316" s="1"/>
      <c r="B316" s="1" t="e">
        <f t="array" aca="1" ref="B316" ca="1">_xludf.XLOOKUP(A316, 도서_정보[ID], 도서_정보[도서명], "")</f>
        <v>#NAME?</v>
      </c>
      <c r="C316" s="1" t="e">
        <f t="array" aca="1" ref="C316" ca="1">_xludf.XLOOKUP(A316, 도서_정보[ID], 도서_정보[작업 페이지], "")</f>
        <v>#NAME?</v>
      </c>
      <c r="D316" s="70" t="b">
        <v>0</v>
      </c>
      <c r="E316" s="70" t="b">
        <v>0</v>
      </c>
      <c r="F316" s="79" t="b">
        <v>0</v>
      </c>
      <c r="G316" s="70" t="b">
        <v>0</v>
      </c>
      <c r="H316" s="70" t="b">
        <v>0</v>
      </c>
      <c r="I316" s="70" t="b">
        <v>0</v>
      </c>
      <c r="J316" s="70" t="b">
        <v>0</v>
      </c>
      <c r="K316" s="79" t="b">
        <v>0</v>
      </c>
      <c r="L316" s="70" t="b">
        <v>0</v>
      </c>
      <c r="M316" s="70" t="b">
        <v>0</v>
      </c>
      <c r="N316" s="1"/>
    </row>
    <row r="317" spans="1:14" ht="22.5" customHeight="1">
      <c r="A317" s="1"/>
      <c r="B317" s="1" t="e">
        <f t="array" aca="1" ref="B317" ca="1">_xludf.XLOOKUP(A317, 도서_정보[ID], 도서_정보[도서명], "")</f>
        <v>#NAME?</v>
      </c>
      <c r="C317" s="1" t="e">
        <f t="array" aca="1" ref="C317" ca="1">_xludf.XLOOKUP(A317, 도서_정보[ID], 도서_정보[작업 페이지], "")</f>
        <v>#NAME?</v>
      </c>
      <c r="D317" s="70" t="b">
        <v>0</v>
      </c>
      <c r="E317" s="70" t="b">
        <v>0</v>
      </c>
      <c r="F317" s="79" t="b">
        <v>0</v>
      </c>
      <c r="G317" s="70" t="b">
        <v>0</v>
      </c>
      <c r="H317" s="70" t="b">
        <v>0</v>
      </c>
      <c r="I317" s="70" t="b">
        <v>0</v>
      </c>
      <c r="J317" s="70" t="b">
        <v>0</v>
      </c>
      <c r="K317" s="79" t="b">
        <v>0</v>
      </c>
      <c r="L317" s="70" t="b">
        <v>0</v>
      </c>
      <c r="M317" s="70" t="b">
        <v>0</v>
      </c>
      <c r="N317" s="1"/>
    </row>
    <row r="318" spans="1:14" ht="22.5" customHeight="1">
      <c r="A318" s="1"/>
      <c r="B318" s="1" t="e">
        <f t="array" aca="1" ref="B318" ca="1">_xludf.XLOOKUP(A318, 도서_정보[ID], 도서_정보[도서명], "")</f>
        <v>#NAME?</v>
      </c>
      <c r="C318" s="1" t="e">
        <f t="array" aca="1" ref="C318" ca="1">_xludf.XLOOKUP(A318, 도서_정보[ID], 도서_정보[작업 페이지], "")</f>
        <v>#NAME?</v>
      </c>
      <c r="D318" s="70" t="b">
        <v>0</v>
      </c>
      <c r="E318" s="70" t="b">
        <v>0</v>
      </c>
      <c r="F318" s="79" t="b">
        <v>0</v>
      </c>
      <c r="G318" s="70" t="b">
        <v>0</v>
      </c>
      <c r="H318" s="70" t="b">
        <v>0</v>
      </c>
      <c r="I318" s="70" t="b">
        <v>0</v>
      </c>
      <c r="J318" s="70" t="b">
        <v>0</v>
      </c>
      <c r="K318" s="79" t="b">
        <v>0</v>
      </c>
      <c r="L318" s="70" t="b">
        <v>0</v>
      </c>
      <c r="M318" s="70" t="b">
        <v>0</v>
      </c>
      <c r="N318" s="1"/>
    </row>
    <row r="319" spans="1:14" ht="22.5" customHeight="1">
      <c r="A319" s="1"/>
      <c r="B319" s="1" t="e">
        <f t="array" aca="1" ref="B319" ca="1">_xludf.XLOOKUP(A319, 도서_정보[ID], 도서_정보[도서명], "")</f>
        <v>#NAME?</v>
      </c>
      <c r="C319" s="1" t="e">
        <f t="array" aca="1" ref="C319" ca="1">_xludf.XLOOKUP(A319, 도서_정보[ID], 도서_정보[작업 페이지], "")</f>
        <v>#NAME?</v>
      </c>
      <c r="D319" s="70" t="b">
        <v>0</v>
      </c>
      <c r="E319" s="70" t="b">
        <v>0</v>
      </c>
      <c r="F319" s="79" t="b">
        <v>0</v>
      </c>
      <c r="G319" s="70" t="b">
        <v>0</v>
      </c>
      <c r="H319" s="70" t="b">
        <v>0</v>
      </c>
      <c r="I319" s="70" t="b">
        <v>0</v>
      </c>
      <c r="J319" s="70" t="b">
        <v>0</v>
      </c>
      <c r="K319" s="79" t="b">
        <v>0</v>
      </c>
      <c r="L319" s="70" t="b">
        <v>0</v>
      </c>
      <c r="M319" s="70" t="b">
        <v>0</v>
      </c>
      <c r="N319" s="1"/>
    </row>
    <row r="320" spans="1:14" ht="22.5" customHeight="1">
      <c r="A320" s="1"/>
      <c r="B320" s="1" t="e">
        <f t="array" aca="1" ref="B320" ca="1">_xludf.XLOOKUP(A320, 도서_정보[ID], 도서_정보[도서명], "")</f>
        <v>#NAME?</v>
      </c>
      <c r="C320" s="1" t="e">
        <f t="array" aca="1" ref="C320" ca="1">_xludf.XLOOKUP(A320, 도서_정보[ID], 도서_정보[작업 페이지], "")</f>
        <v>#NAME?</v>
      </c>
      <c r="D320" s="70" t="b">
        <v>0</v>
      </c>
      <c r="E320" s="70" t="b">
        <v>0</v>
      </c>
      <c r="F320" s="79" t="b">
        <v>0</v>
      </c>
      <c r="G320" s="70" t="b">
        <v>0</v>
      </c>
      <c r="H320" s="70" t="b">
        <v>0</v>
      </c>
      <c r="I320" s="70" t="b">
        <v>0</v>
      </c>
      <c r="J320" s="70" t="b">
        <v>0</v>
      </c>
      <c r="K320" s="79" t="b">
        <v>0</v>
      </c>
      <c r="L320" s="70" t="b">
        <v>0</v>
      </c>
      <c r="M320" s="70" t="b">
        <v>0</v>
      </c>
      <c r="N320" s="1"/>
    </row>
    <row r="321" spans="1:14" ht="22.5" customHeight="1">
      <c r="A321" s="1"/>
      <c r="B321" s="1" t="e">
        <f t="array" aca="1" ref="B321" ca="1">_xludf.XLOOKUP(A321, 도서_정보[ID], 도서_정보[도서명], "")</f>
        <v>#NAME?</v>
      </c>
      <c r="C321" s="1" t="e">
        <f t="array" aca="1" ref="C321" ca="1">_xludf.XLOOKUP(A321, 도서_정보[ID], 도서_정보[작업 페이지], "")</f>
        <v>#NAME?</v>
      </c>
      <c r="D321" s="70" t="b">
        <v>0</v>
      </c>
      <c r="E321" s="70" t="b">
        <v>0</v>
      </c>
      <c r="F321" s="79" t="b">
        <v>0</v>
      </c>
      <c r="G321" s="70" t="b">
        <v>0</v>
      </c>
      <c r="H321" s="70" t="b">
        <v>0</v>
      </c>
      <c r="I321" s="70" t="b">
        <v>0</v>
      </c>
      <c r="J321" s="70" t="b">
        <v>0</v>
      </c>
      <c r="K321" s="79" t="b">
        <v>0</v>
      </c>
      <c r="L321" s="70" t="b">
        <v>0</v>
      </c>
      <c r="M321" s="70" t="b">
        <v>0</v>
      </c>
      <c r="N321" s="1"/>
    </row>
    <row r="322" spans="1:14" ht="22.5" customHeight="1">
      <c r="A322" s="1"/>
      <c r="B322" s="1" t="e">
        <f t="array" aca="1" ref="B322" ca="1">_xludf.XLOOKUP(A322, 도서_정보[ID], 도서_정보[도서명], "")</f>
        <v>#NAME?</v>
      </c>
      <c r="C322" s="1" t="e">
        <f t="array" aca="1" ref="C322" ca="1">_xludf.XLOOKUP(A322, 도서_정보[ID], 도서_정보[작업 페이지], "")</f>
        <v>#NAME?</v>
      </c>
      <c r="D322" s="70" t="b">
        <v>0</v>
      </c>
      <c r="E322" s="70" t="b">
        <v>0</v>
      </c>
      <c r="F322" s="79" t="b">
        <v>0</v>
      </c>
      <c r="G322" s="70" t="b">
        <v>0</v>
      </c>
      <c r="H322" s="70" t="b">
        <v>0</v>
      </c>
      <c r="I322" s="70" t="b">
        <v>0</v>
      </c>
      <c r="J322" s="70" t="b">
        <v>0</v>
      </c>
      <c r="K322" s="79" t="b">
        <v>0</v>
      </c>
      <c r="L322" s="70" t="b">
        <v>0</v>
      </c>
      <c r="M322" s="70" t="b">
        <v>0</v>
      </c>
      <c r="N322" s="1"/>
    </row>
    <row r="323" spans="1:14" ht="22.5" customHeight="1">
      <c r="A323" s="1"/>
      <c r="B323" s="1" t="e">
        <f t="array" aca="1" ref="B323" ca="1">_xludf.XLOOKUP(A323, 도서_정보[ID], 도서_정보[도서명], "")</f>
        <v>#NAME?</v>
      </c>
      <c r="C323" s="1" t="e">
        <f t="array" aca="1" ref="C323" ca="1">_xludf.XLOOKUP(A323, 도서_정보[ID], 도서_정보[작업 페이지], "")</f>
        <v>#NAME?</v>
      </c>
      <c r="D323" s="70" t="b">
        <v>0</v>
      </c>
      <c r="E323" s="70" t="b">
        <v>0</v>
      </c>
      <c r="F323" s="79" t="b">
        <v>0</v>
      </c>
      <c r="G323" s="70" t="b">
        <v>0</v>
      </c>
      <c r="H323" s="70" t="b">
        <v>0</v>
      </c>
      <c r="I323" s="70" t="b">
        <v>0</v>
      </c>
      <c r="J323" s="70" t="b">
        <v>0</v>
      </c>
      <c r="K323" s="79" t="b">
        <v>0</v>
      </c>
      <c r="L323" s="70" t="b">
        <v>0</v>
      </c>
      <c r="M323" s="70" t="b">
        <v>0</v>
      </c>
      <c r="N323" s="1"/>
    </row>
    <row r="324" spans="1:14" ht="22.5" customHeight="1">
      <c r="A324" s="1"/>
      <c r="B324" s="1" t="e">
        <f t="array" aca="1" ref="B324" ca="1">_xludf.XLOOKUP(A324, 도서_정보[ID], 도서_정보[도서명], "")</f>
        <v>#NAME?</v>
      </c>
      <c r="C324" s="1" t="e">
        <f t="array" aca="1" ref="C324" ca="1">_xludf.XLOOKUP(A324, 도서_정보[ID], 도서_정보[작업 페이지], "")</f>
        <v>#NAME?</v>
      </c>
      <c r="D324" s="70" t="b">
        <v>0</v>
      </c>
      <c r="E324" s="70" t="b">
        <v>0</v>
      </c>
      <c r="F324" s="79" t="b">
        <v>0</v>
      </c>
      <c r="G324" s="70" t="b">
        <v>0</v>
      </c>
      <c r="H324" s="70" t="b">
        <v>0</v>
      </c>
      <c r="I324" s="70" t="b">
        <v>0</v>
      </c>
      <c r="J324" s="70" t="b">
        <v>0</v>
      </c>
      <c r="K324" s="79" t="b">
        <v>0</v>
      </c>
      <c r="L324" s="70" t="b">
        <v>0</v>
      </c>
      <c r="M324" s="70" t="b">
        <v>0</v>
      </c>
      <c r="N324" s="1"/>
    </row>
    <row r="325" spans="1:14" ht="22.5" customHeight="1">
      <c r="A325" s="1"/>
      <c r="B325" s="1" t="e">
        <f t="array" aca="1" ref="B325" ca="1">_xludf.XLOOKUP(A325, 도서_정보[ID], 도서_정보[도서명], "")</f>
        <v>#NAME?</v>
      </c>
      <c r="C325" s="1" t="e">
        <f t="array" aca="1" ref="C325" ca="1">_xludf.XLOOKUP(A325, 도서_정보[ID], 도서_정보[작업 페이지], "")</f>
        <v>#NAME?</v>
      </c>
      <c r="D325" s="70" t="b">
        <v>0</v>
      </c>
      <c r="E325" s="70" t="b">
        <v>0</v>
      </c>
      <c r="F325" s="79" t="b">
        <v>0</v>
      </c>
      <c r="G325" s="70" t="b">
        <v>0</v>
      </c>
      <c r="H325" s="70" t="b">
        <v>0</v>
      </c>
      <c r="I325" s="70" t="b">
        <v>0</v>
      </c>
      <c r="J325" s="70" t="b">
        <v>0</v>
      </c>
      <c r="K325" s="79" t="b">
        <v>0</v>
      </c>
      <c r="L325" s="70" t="b">
        <v>0</v>
      </c>
      <c r="M325" s="70" t="b">
        <v>0</v>
      </c>
      <c r="N325" s="1"/>
    </row>
    <row r="326" spans="1:14" ht="22.5" customHeight="1">
      <c r="A326" s="1"/>
      <c r="B326" s="1" t="e">
        <f t="array" aca="1" ref="B326" ca="1">_xludf.XLOOKUP(A326, 도서_정보[ID], 도서_정보[도서명], "")</f>
        <v>#NAME?</v>
      </c>
      <c r="C326" s="1" t="e">
        <f t="array" aca="1" ref="C326" ca="1">_xludf.XLOOKUP(A326, 도서_정보[ID], 도서_정보[작업 페이지], "")</f>
        <v>#NAME?</v>
      </c>
      <c r="D326" s="70" t="b">
        <v>0</v>
      </c>
      <c r="E326" s="70" t="b">
        <v>0</v>
      </c>
      <c r="F326" s="79" t="b">
        <v>0</v>
      </c>
      <c r="G326" s="70" t="b">
        <v>0</v>
      </c>
      <c r="H326" s="70" t="b">
        <v>0</v>
      </c>
      <c r="I326" s="70" t="b">
        <v>0</v>
      </c>
      <c r="J326" s="70" t="b">
        <v>0</v>
      </c>
      <c r="K326" s="79" t="b">
        <v>0</v>
      </c>
      <c r="L326" s="70" t="b">
        <v>0</v>
      </c>
      <c r="M326" s="70" t="b">
        <v>0</v>
      </c>
      <c r="N326" s="1"/>
    </row>
    <row r="327" spans="1:14" ht="22.5" customHeight="1">
      <c r="A327" s="1"/>
      <c r="B327" s="1" t="e">
        <f t="array" aca="1" ref="B327" ca="1">_xludf.XLOOKUP(A327, 도서_정보[ID], 도서_정보[도서명], "")</f>
        <v>#NAME?</v>
      </c>
      <c r="C327" s="1" t="e">
        <f t="array" aca="1" ref="C327" ca="1">_xludf.XLOOKUP(A327, 도서_정보[ID], 도서_정보[작업 페이지], "")</f>
        <v>#NAME?</v>
      </c>
      <c r="D327" s="70" t="b">
        <v>0</v>
      </c>
      <c r="E327" s="70" t="b">
        <v>0</v>
      </c>
      <c r="F327" s="79" t="b">
        <v>0</v>
      </c>
      <c r="G327" s="70" t="b">
        <v>0</v>
      </c>
      <c r="H327" s="70" t="b">
        <v>0</v>
      </c>
      <c r="I327" s="70" t="b">
        <v>0</v>
      </c>
      <c r="J327" s="70" t="b">
        <v>0</v>
      </c>
      <c r="K327" s="79" t="b">
        <v>0</v>
      </c>
      <c r="L327" s="70" t="b">
        <v>0</v>
      </c>
      <c r="M327" s="70" t="b">
        <v>0</v>
      </c>
      <c r="N327" s="1"/>
    </row>
    <row r="328" spans="1:14" ht="22.5" customHeight="1">
      <c r="A328" s="1"/>
      <c r="B328" s="1" t="e">
        <f t="array" aca="1" ref="B328" ca="1">_xludf.XLOOKUP(A328, 도서_정보[ID], 도서_정보[도서명], "")</f>
        <v>#NAME?</v>
      </c>
      <c r="C328" s="1" t="e">
        <f t="array" aca="1" ref="C328" ca="1">_xludf.XLOOKUP(A328, 도서_정보[ID], 도서_정보[작업 페이지], "")</f>
        <v>#NAME?</v>
      </c>
      <c r="D328" s="70" t="b">
        <v>0</v>
      </c>
      <c r="E328" s="70" t="b">
        <v>0</v>
      </c>
      <c r="F328" s="79" t="b">
        <v>0</v>
      </c>
      <c r="G328" s="70" t="b">
        <v>0</v>
      </c>
      <c r="H328" s="70" t="b">
        <v>0</v>
      </c>
      <c r="I328" s="70" t="b">
        <v>0</v>
      </c>
      <c r="J328" s="70" t="b">
        <v>0</v>
      </c>
      <c r="K328" s="79" t="b">
        <v>0</v>
      </c>
      <c r="L328" s="70" t="b">
        <v>0</v>
      </c>
      <c r="M328" s="70" t="b">
        <v>0</v>
      </c>
      <c r="N328" s="1"/>
    </row>
    <row r="329" spans="1:14" ht="22.5" customHeight="1">
      <c r="A329" s="1"/>
      <c r="B329" s="1" t="e">
        <f t="array" aca="1" ref="B329" ca="1">_xludf.XLOOKUP(A329, 도서_정보[ID], 도서_정보[도서명], "")</f>
        <v>#NAME?</v>
      </c>
      <c r="C329" s="1" t="e">
        <f t="array" aca="1" ref="C329" ca="1">_xludf.XLOOKUP(A329, 도서_정보[ID], 도서_정보[작업 페이지], "")</f>
        <v>#NAME?</v>
      </c>
      <c r="D329" s="70" t="b">
        <v>0</v>
      </c>
      <c r="E329" s="70" t="b">
        <v>0</v>
      </c>
      <c r="F329" s="79" t="b">
        <v>0</v>
      </c>
      <c r="G329" s="70" t="b">
        <v>0</v>
      </c>
      <c r="H329" s="70" t="b">
        <v>0</v>
      </c>
      <c r="I329" s="70" t="b">
        <v>0</v>
      </c>
      <c r="J329" s="70" t="b">
        <v>0</v>
      </c>
      <c r="K329" s="79" t="b">
        <v>0</v>
      </c>
      <c r="L329" s="70" t="b">
        <v>0</v>
      </c>
      <c r="M329" s="70" t="b">
        <v>0</v>
      </c>
      <c r="N329" s="1"/>
    </row>
    <row r="330" spans="1:14" ht="22.5" customHeight="1">
      <c r="A330" s="1"/>
      <c r="B330" s="1" t="e">
        <f t="array" aca="1" ref="B330" ca="1">_xludf.XLOOKUP(A330, 도서_정보[ID], 도서_정보[도서명], "")</f>
        <v>#NAME?</v>
      </c>
      <c r="C330" s="1" t="e">
        <f t="array" aca="1" ref="C330" ca="1">_xludf.XLOOKUP(A330, 도서_정보[ID], 도서_정보[작업 페이지], "")</f>
        <v>#NAME?</v>
      </c>
      <c r="D330" s="70" t="b">
        <v>0</v>
      </c>
      <c r="E330" s="70" t="b">
        <v>0</v>
      </c>
      <c r="F330" s="79" t="b">
        <v>0</v>
      </c>
      <c r="G330" s="70" t="b">
        <v>0</v>
      </c>
      <c r="H330" s="70" t="b">
        <v>0</v>
      </c>
      <c r="I330" s="70" t="b">
        <v>0</v>
      </c>
      <c r="J330" s="70" t="b">
        <v>0</v>
      </c>
      <c r="K330" s="79" t="b">
        <v>0</v>
      </c>
      <c r="L330" s="70" t="b">
        <v>0</v>
      </c>
      <c r="M330" s="70" t="b">
        <v>0</v>
      </c>
      <c r="N330" s="1"/>
    </row>
    <row r="331" spans="1:14" ht="22.5" customHeight="1">
      <c r="A331" s="1"/>
      <c r="B331" s="1" t="e">
        <f t="array" aca="1" ref="B331" ca="1">_xludf.XLOOKUP(A331, 도서_정보[ID], 도서_정보[도서명], "")</f>
        <v>#NAME?</v>
      </c>
      <c r="C331" s="1" t="e">
        <f t="array" aca="1" ref="C331" ca="1">_xludf.XLOOKUP(A331, 도서_정보[ID], 도서_정보[작업 페이지], "")</f>
        <v>#NAME?</v>
      </c>
      <c r="D331" s="70" t="b">
        <v>0</v>
      </c>
      <c r="E331" s="70" t="b">
        <v>0</v>
      </c>
      <c r="F331" s="79" t="b">
        <v>0</v>
      </c>
      <c r="G331" s="70" t="b">
        <v>0</v>
      </c>
      <c r="H331" s="70" t="b">
        <v>0</v>
      </c>
      <c r="I331" s="70" t="b">
        <v>0</v>
      </c>
      <c r="J331" s="70" t="b">
        <v>0</v>
      </c>
      <c r="K331" s="79" t="b">
        <v>0</v>
      </c>
      <c r="L331" s="70" t="b">
        <v>0</v>
      </c>
      <c r="M331" s="70" t="b">
        <v>0</v>
      </c>
      <c r="N331" s="1"/>
    </row>
    <row r="332" spans="1:14" ht="22.5" customHeight="1">
      <c r="A332" s="1"/>
      <c r="B332" s="1" t="e">
        <f t="array" aca="1" ref="B332" ca="1">_xludf.XLOOKUP(A332, 도서_정보[ID], 도서_정보[도서명], "")</f>
        <v>#NAME?</v>
      </c>
      <c r="C332" s="1" t="e">
        <f t="array" aca="1" ref="C332" ca="1">_xludf.XLOOKUP(A332, 도서_정보[ID], 도서_정보[작업 페이지], "")</f>
        <v>#NAME?</v>
      </c>
      <c r="D332" s="70" t="b">
        <v>0</v>
      </c>
      <c r="E332" s="70" t="b">
        <v>0</v>
      </c>
      <c r="F332" s="79" t="b">
        <v>0</v>
      </c>
      <c r="G332" s="70" t="b">
        <v>0</v>
      </c>
      <c r="H332" s="70" t="b">
        <v>0</v>
      </c>
      <c r="I332" s="70" t="b">
        <v>0</v>
      </c>
      <c r="J332" s="70" t="b">
        <v>0</v>
      </c>
      <c r="K332" s="79" t="b">
        <v>0</v>
      </c>
      <c r="L332" s="70" t="b">
        <v>0</v>
      </c>
      <c r="M332" s="70" t="b">
        <v>0</v>
      </c>
      <c r="N332" s="1"/>
    </row>
    <row r="333" spans="1:14" ht="22.5" customHeight="1">
      <c r="A333" s="1"/>
      <c r="B333" s="1" t="e">
        <f t="array" aca="1" ref="B333" ca="1">_xludf.XLOOKUP(A333, 도서_정보[ID], 도서_정보[도서명], "")</f>
        <v>#NAME?</v>
      </c>
      <c r="C333" s="1" t="e">
        <f t="array" aca="1" ref="C333" ca="1">_xludf.XLOOKUP(A333, 도서_정보[ID], 도서_정보[작업 페이지], "")</f>
        <v>#NAME?</v>
      </c>
      <c r="D333" s="70" t="b">
        <v>0</v>
      </c>
      <c r="E333" s="70" t="b">
        <v>0</v>
      </c>
      <c r="F333" s="79" t="b">
        <v>0</v>
      </c>
      <c r="G333" s="70" t="b">
        <v>0</v>
      </c>
      <c r="H333" s="70" t="b">
        <v>0</v>
      </c>
      <c r="I333" s="70" t="b">
        <v>0</v>
      </c>
      <c r="J333" s="70" t="b">
        <v>0</v>
      </c>
      <c r="K333" s="79" t="b">
        <v>0</v>
      </c>
      <c r="L333" s="70" t="b">
        <v>0</v>
      </c>
      <c r="M333" s="70" t="b">
        <v>0</v>
      </c>
      <c r="N333" s="1"/>
    </row>
    <row r="334" spans="1:14" ht="22.5" customHeight="1">
      <c r="A334" s="1"/>
      <c r="B334" s="1" t="e">
        <f t="array" aca="1" ref="B334" ca="1">_xludf.XLOOKUP(A334, 도서_정보[ID], 도서_정보[도서명], "")</f>
        <v>#NAME?</v>
      </c>
      <c r="C334" s="1" t="e">
        <f t="array" aca="1" ref="C334" ca="1">_xludf.XLOOKUP(A334, 도서_정보[ID], 도서_정보[작업 페이지], "")</f>
        <v>#NAME?</v>
      </c>
      <c r="D334" s="70" t="b">
        <v>0</v>
      </c>
      <c r="E334" s="70" t="b">
        <v>0</v>
      </c>
      <c r="F334" s="79" t="b">
        <v>0</v>
      </c>
      <c r="G334" s="70" t="b">
        <v>0</v>
      </c>
      <c r="H334" s="70" t="b">
        <v>0</v>
      </c>
      <c r="I334" s="70" t="b">
        <v>0</v>
      </c>
      <c r="J334" s="70" t="b">
        <v>0</v>
      </c>
      <c r="K334" s="79" t="b">
        <v>0</v>
      </c>
      <c r="L334" s="70" t="b">
        <v>0</v>
      </c>
      <c r="M334" s="70" t="b">
        <v>0</v>
      </c>
      <c r="N334" s="1"/>
    </row>
    <row r="335" spans="1:14" ht="22.5" customHeight="1">
      <c r="A335" s="1"/>
      <c r="B335" s="1" t="e">
        <f t="array" aca="1" ref="B335" ca="1">_xludf.XLOOKUP(A335, 도서_정보[ID], 도서_정보[도서명], "")</f>
        <v>#NAME?</v>
      </c>
      <c r="C335" s="1" t="e">
        <f t="array" aca="1" ref="C335" ca="1">_xludf.XLOOKUP(A335, 도서_정보[ID], 도서_정보[작업 페이지], "")</f>
        <v>#NAME?</v>
      </c>
      <c r="D335" s="70" t="b">
        <v>0</v>
      </c>
      <c r="E335" s="70" t="b">
        <v>0</v>
      </c>
      <c r="F335" s="79" t="b">
        <v>0</v>
      </c>
      <c r="G335" s="70" t="b">
        <v>0</v>
      </c>
      <c r="H335" s="70" t="b">
        <v>0</v>
      </c>
      <c r="I335" s="70" t="b">
        <v>0</v>
      </c>
      <c r="J335" s="70" t="b">
        <v>0</v>
      </c>
      <c r="K335" s="79" t="b">
        <v>0</v>
      </c>
      <c r="L335" s="70" t="b">
        <v>0</v>
      </c>
      <c r="M335" s="70" t="b">
        <v>0</v>
      </c>
      <c r="N335" s="1"/>
    </row>
    <row r="336" spans="1:14" ht="22.5" customHeight="1">
      <c r="A336" s="1"/>
      <c r="B336" s="1" t="e">
        <f t="array" aca="1" ref="B336" ca="1">_xludf.XLOOKUP(A336, 도서_정보[ID], 도서_정보[도서명], "")</f>
        <v>#NAME?</v>
      </c>
      <c r="C336" s="1" t="e">
        <f t="array" aca="1" ref="C336" ca="1">_xludf.XLOOKUP(A336, 도서_정보[ID], 도서_정보[작업 페이지], "")</f>
        <v>#NAME?</v>
      </c>
      <c r="D336" s="70" t="b">
        <v>0</v>
      </c>
      <c r="E336" s="70" t="b">
        <v>0</v>
      </c>
      <c r="F336" s="79" t="b">
        <v>0</v>
      </c>
      <c r="G336" s="70" t="b">
        <v>0</v>
      </c>
      <c r="H336" s="70" t="b">
        <v>0</v>
      </c>
      <c r="I336" s="70" t="b">
        <v>0</v>
      </c>
      <c r="J336" s="70" t="b">
        <v>0</v>
      </c>
      <c r="K336" s="79" t="b">
        <v>0</v>
      </c>
      <c r="L336" s="70" t="b">
        <v>0</v>
      </c>
      <c r="M336" s="70" t="b">
        <v>0</v>
      </c>
      <c r="N336" s="1"/>
    </row>
    <row r="337" spans="1:14" ht="22.5" customHeight="1">
      <c r="A337" s="1"/>
      <c r="B337" s="1" t="e">
        <f t="array" aca="1" ref="B337" ca="1">_xludf.XLOOKUP(A337, 도서_정보[ID], 도서_정보[도서명], "")</f>
        <v>#NAME?</v>
      </c>
      <c r="C337" s="1" t="e">
        <f t="array" aca="1" ref="C337" ca="1">_xludf.XLOOKUP(A337, 도서_정보[ID], 도서_정보[작업 페이지], "")</f>
        <v>#NAME?</v>
      </c>
      <c r="D337" s="70" t="b">
        <v>0</v>
      </c>
      <c r="E337" s="70" t="b">
        <v>0</v>
      </c>
      <c r="F337" s="79" t="b">
        <v>0</v>
      </c>
      <c r="G337" s="70" t="b">
        <v>0</v>
      </c>
      <c r="H337" s="70" t="b">
        <v>0</v>
      </c>
      <c r="I337" s="70" t="b">
        <v>0</v>
      </c>
      <c r="J337" s="70" t="b">
        <v>0</v>
      </c>
      <c r="K337" s="79" t="b">
        <v>0</v>
      </c>
      <c r="L337" s="70" t="b">
        <v>0</v>
      </c>
      <c r="M337" s="70" t="b">
        <v>0</v>
      </c>
      <c r="N337" s="1"/>
    </row>
    <row r="338" spans="1:14" ht="22.5" customHeight="1">
      <c r="A338" s="1"/>
      <c r="B338" s="1" t="e">
        <f t="array" aca="1" ref="B338" ca="1">_xludf.XLOOKUP(A338, 도서_정보[ID], 도서_정보[도서명], "")</f>
        <v>#NAME?</v>
      </c>
      <c r="C338" s="1" t="e">
        <f t="array" aca="1" ref="C338" ca="1">_xludf.XLOOKUP(A338, 도서_정보[ID], 도서_정보[작업 페이지], "")</f>
        <v>#NAME?</v>
      </c>
      <c r="D338" s="70" t="b">
        <v>0</v>
      </c>
      <c r="E338" s="70" t="b">
        <v>0</v>
      </c>
      <c r="F338" s="79" t="b">
        <v>0</v>
      </c>
      <c r="G338" s="70" t="b">
        <v>0</v>
      </c>
      <c r="H338" s="70" t="b">
        <v>0</v>
      </c>
      <c r="I338" s="70" t="b">
        <v>0</v>
      </c>
      <c r="J338" s="70" t="b">
        <v>0</v>
      </c>
      <c r="K338" s="79" t="b">
        <v>0</v>
      </c>
      <c r="L338" s="70" t="b">
        <v>0</v>
      </c>
      <c r="M338" s="70" t="b">
        <v>0</v>
      </c>
      <c r="N338" s="1"/>
    </row>
    <row r="339" spans="1:14" ht="22.5" customHeight="1">
      <c r="A339" s="1"/>
      <c r="B339" s="1" t="e">
        <f t="array" aca="1" ref="B339" ca="1">_xludf.XLOOKUP(A339, 도서_정보[ID], 도서_정보[도서명], "")</f>
        <v>#NAME?</v>
      </c>
      <c r="C339" s="1" t="e">
        <f t="array" aca="1" ref="C339" ca="1">_xludf.XLOOKUP(A339, 도서_정보[ID], 도서_정보[작업 페이지], "")</f>
        <v>#NAME?</v>
      </c>
      <c r="D339" s="70" t="b">
        <v>0</v>
      </c>
      <c r="E339" s="70" t="b">
        <v>0</v>
      </c>
      <c r="F339" s="79" t="b">
        <v>0</v>
      </c>
      <c r="G339" s="70" t="b">
        <v>0</v>
      </c>
      <c r="H339" s="70" t="b">
        <v>0</v>
      </c>
      <c r="I339" s="70" t="b">
        <v>0</v>
      </c>
      <c r="J339" s="70" t="b">
        <v>0</v>
      </c>
      <c r="K339" s="79" t="b">
        <v>0</v>
      </c>
      <c r="L339" s="70" t="b">
        <v>0</v>
      </c>
      <c r="M339" s="70" t="b">
        <v>0</v>
      </c>
      <c r="N339" s="1"/>
    </row>
    <row r="340" spans="1:14" ht="22.5" customHeight="1">
      <c r="A340" s="1"/>
      <c r="B340" s="1" t="e">
        <f t="array" aca="1" ref="B340" ca="1">_xludf.XLOOKUP(A340, 도서_정보[ID], 도서_정보[도서명], "")</f>
        <v>#NAME?</v>
      </c>
      <c r="C340" s="1" t="e">
        <f t="array" aca="1" ref="C340" ca="1">_xludf.XLOOKUP(A340, 도서_정보[ID], 도서_정보[작업 페이지], "")</f>
        <v>#NAME?</v>
      </c>
      <c r="D340" s="70" t="b">
        <v>0</v>
      </c>
      <c r="E340" s="70" t="b">
        <v>0</v>
      </c>
      <c r="F340" s="79" t="b">
        <v>0</v>
      </c>
      <c r="G340" s="70" t="b">
        <v>0</v>
      </c>
      <c r="H340" s="70" t="b">
        <v>0</v>
      </c>
      <c r="I340" s="70" t="b">
        <v>0</v>
      </c>
      <c r="J340" s="70" t="b">
        <v>0</v>
      </c>
      <c r="K340" s="79" t="b">
        <v>0</v>
      </c>
      <c r="L340" s="70" t="b">
        <v>0</v>
      </c>
      <c r="M340" s="70" t="b">
        <v>0</v>
      </c>
      <c r="N340" s="1"/>
    </row>
    <row r="341" spans="1:14" ht="22.5" customHeight="1">
      <c r="A341" s="1"/>
      <c r="B341" s="1" t="e">
        <f t="array" aca="1" ref="B341" ca="1">_xludf.XLOOKUP(A341, 도서_정보[ID], 도서_정보[도서명], "")</f>
        <v>#NAME?</v>
      </c>
      <c r="C341" s="1" t="e">
        <f t="array" aca="1" ref="C341" ca="1">_xludf.XLOOKUP(A341, 도서_정보[ID], 도서_정보[작업 페이지], "")</f>
        <v>#NAME?</v>
      </c>
      <c r="D341" s="70" t="b">
        <v>0</v>
      </c>
      <c r="E341" s="70" t="b">
        <v>0</v>
      </c>
      <c r="F341" s="79" t="b">
        <v>0</v>
      </c>
      <c r="G341" s="70" t="b">
        <v>0</v>
      </c>
      <c r="H341" s="70" t="b">
        <v>0</v>
      </c>
      <c r="I341" s="70" t="b">
        <v>0</v>
      </c>
      <c r="J341" s="70" t="b">
        <v>0</v>
      </c>
      <c r="K341" s="79" t="b">
        <v>0</v>
      </c>
      <c r="L341" s="70" t="b">
        <v>0</v>
      </c>
      <c r="M341" s="70" t="b">
        <v>0</v>
      </c>
      <c r="N341" s="1"/>
    </row>
    <row r="342" spans="1:14" ht="22.5" customHeight="1">
      <c r="A342" s="1"/>
      <c r="B342" s="1" t="e">
        <f t="array" aca="1" ref="B342" ca="1">_xludf.XLOOKUP(A342, 도서_정보[ID], 도서_정보[도서명], "")</f>
        <v>#NAME?</v>
      </c>
      <c r="C342" s="1" t="e">
        <f t="array" aca="1" ref="C342" ca="1">_xludf.XLOOKUP(A342, 도서_정보[ID], 도서_정보[작업 페이지], "")</f>
        <v>#NAME?</v>
      </c>
      <c r="D342" s="70" t="b">
        <v>0</v>
      </c>
      <c r="E342" s="70" t="b">
        <v>0</v>
      </c>
      <c r="F342" s="79" t="b">
        <v>0</v>
      </c>
      <c r="G342" s="70" t="b">
        <v>0</v>
      </c>
      <c r="H342" s="70" t="b">
        <v>0</v>
      </c>
      <c r="I342" s="70" t="b">
        <v>0</v>
      </c>
      <c r="J342" s="70" t="b">
        <v>0</v>
      </c>
      <c r="K342" s="79" t="b">
        <v>0</v>
      </c>
      <c r="L342" s="70" t="b">
        <v>0</v>
      </c>
      <c r="M342" s="70" t="b">
        <v>0</v>
      </c>
      <c r="N342" s="1"/>
    </row>
    <row r="343" spans="1:14" ht="22.5" customHeight="1">
      <c r="A343" s="1"/>
      <c r="B343" s="1" t="e">
        <f t="array" aca="1" ref="B343" ca="1">_xludf.XLOOKUP(A343, 도서_정보[ID], 도서_정보[도서명], "")</f>
        <v>#NAME?</v>
      </c>
      <c r="C343" s="1" t="e">
        <f t="array" aca="1" ref="C343" ca="1">_xludf.XLOOKUP(A343, 도서_정보[ID], 도서_정보[작업 페이지], "")</f>
        <v>#NAME?</v>
      </c>
      <c r="D343" s="70" t="b">
        <v>0</v>
      </c>
      <c r="E343" s="70" t="b">
        <v>0</v>
      </c>
      <c r="F343" s="79" t="b">
        <v>0</v>
      </c>
      <c r="G343" s="70" t="b">
        <v>0</v>
      </c>
      <c r="H343" s="70" t="b">
        <v>0</v>
      </c>
      <c r="I343" s="70" t="b">
        <v>0</v>
      </c>
      <c r="J343" s="70" t="b">
        <v>0</v>
      </c>
      <c r="K343" s="79" t="b">
        <v>0</v>
      </c>
      <c r="L343" s="70" t="b">
        <v>0</v>
      </c>
      <c r="M343" s="70" t="b">
        <v>0</v>
      </c>
      <c r="N343" s="1"/>
    </row>
    <row r="344" spans="1:14" ht="22.5" customHeight="1">
      <c r="A344" s="1"/>
      <c r="B344" s="1" t="e">
        <f t="array" aca="1" ref="B344" ca="1">_xludf.XLOOKUP(A344, 도서_정보[ID], 도서_정보[도서명], "")</f>
        <v>#NAME?</v>
      </c>
      <c r="C344" s="1" t="e">
        <f t="array" aca="1" ref="C344" ca="1">_xludf.XLOOKUP(A344, 도서_정보[ID], 도서_정보[작업 페이지], "")</f>
        <v>#NAME?</v>
      </c>
      <c r="D344" s="70" t="b">
        <v>0</v>
      </c>
      <c r="E344" s="70" t="b">
        <v>0</v>
      </c>
      <c r="F344" s="79" t="b">
        <v>0</v>
      </c>
      <c r="G344" s="70" t="b">
        <v>0</v>
      </c>
      <c r="H344" s="70" t="b">
        <v>0</v>
      </c>
      <c r="I344" s="70" t="b">
        <v>0</v>
      </c>
      <c r="J344" s="70" t="b">
        <v>0</v>
      </c>
      <c r="K344" s="79" t="b">
        <v>0</v>
      </c>
      <c r="L344" s="70" t="b">
        <v>0</v>
      </c>
      <c r="M344" s="70" t="b">
        <v>0</v>
      </c>
      <c r="N344" s="1"/>
    </row>
    <row r="345" spans="1:14" ht="22.5" customHeight="1">
      <c r="A345" s="1"/>
      <c r="B345" s="1" t="e">
        <f t="array" aca="1" ref="B345" ca="1">_xludf.XLOOKUP(A345, 도서_정보[ID], 도서_정보[도서명], "")</f>
        <v>#NAME?</v>
      </c>
      <c r="C345" s="1" t="e">
        <f t="array" aca="1" ref="C345" ca="1">_xludf.XLOOKUP(A345, 도서_정보[ID], 도서_정보[작업 페이지], "")</f>
        <v>#NAME?</v>
      </c>
      <c r="D345" s="70" t="b">
        <v>0</v>
      </c>
      <c r="E345" s="70" t="b">
        <v>0</v>
      </c>
      <c r="F345" s="79" t="b">
        <v>0</v>
      </c>
      <c r="G345" s="70" t="b">
        <v>0</v>
      </c>
      <c r="H345" s="70" t="b">
        <v>0</v>
      </c>
      <c r="I345" s="70" t="b">
        <v>0</v>
      </c>
      <c r="J345" s="70" t="b">
        <v>0</v>
      </c>
      <c r="K345" s="79" t="b">
        <v>0</v>
      </c>
      <c r="L345" s="70" t="b">
        <v>0</v>
      </c>
      <c r="M345" s="70" t="b">
        <v>0</v>
      </c>
      <c r="N345" s="1"/>
    </row>
    <row r="346" spans="1:14" ht="22.5" customHeight="1">
      <c r="A346" s="1"/>
      <c r="B346" s="1" t="e">
        <f t="array" aca="1" ref="B346" ca="1">_xludf.XLOOKUP(A346, 도서_정보[ID], 도서_정보[도서명], "")</f>
        <v>#NAME?</v>
      </c>
      <c r="C346" s="1" t="e">
        <f t="array" aca="1" ref="C346" ca="1">_xludf.XLOOKUP(A346, 도서_정보[ID], 도서_정보[작업 페이지], "")</f>
        <v>#NAME?</v>
      </c>
      <c r="D346" s="70" t="b">
        <v>0</v>
      </c>
      <c r="E346" s="70" t="b">
        <v>0</v>
      </c>
      <c r="F346" s="79" t="b">
        <v>0</v>
      </c>
      <c r="G346" s="70" t="b">
        <v>0</v>
      </c>
      <c r="H346" s="70" t="b">
        <v>0</v>
      </c>
      <c r="I346" s="70" t="b">
        <v>0</v>
      </c>
      <c r="J346" s="70" t="b">
        <v>0</v>
      </c>
      <c r="K346" s="79" t="b">
        <v>0</v>
      </c>
      <c r="L346" s="70" t="b">
        <v>0</v>
      </c>
      <c r="M346" s="70" t="b">
        <v>0</v>
      </c>
      <c r="N346" s="1"/>
    </row>
    <row r="347" spans="1:14" ht="22.5" customHeight="1">
      <c r="A347" s="1"/>
      <c r="B347" s="1" t="e">
        <f t="array" aca="1" ref="B347" ca="1">_xludf.XLOOKUP(A347, 도서_정보[ID], 도서_정보[도서명], "")</f>
        <v>#NAME?</v>
      </c>
      <c r="C347" s="1" t="e">
        <f t="array" aca="1" ref="C347" ca="1">_xludf.XLOOKUP(A347, 도서_정보[ID], 도서_정보[작업 페이지], "")</f>
        <v>#NAME?</v>
      </c>
      <c r="D347" s="70" t="b">
        <v>0</v>
      </c>
      <c r="E347" s="70" t="b">
        <v>0</v>
      </c>
      <c r="F347" s="79" t="b">
        <v>0</v>
      </c>
      <c r="G347" s="70" t="b">
        <v>0</v>
      </c>
      <c r="H347" s="70" t="b">
        <v>0</v>
      </c>
      <c r="I347" s="70" t="b">
        <v>0</v>
      </c>
      <c r="J347" s="70" t="b">
        <v>0</v>
      </c>
      <c r="K347" s="79" t="b">
        <v>0</v>
      </c>
      <c r="L347" s="70" t="b">
        <v>0</v>
      </c>
      <c r="M347" s="70" t="b">
        <v>0</v>
      </c>
      <c r="N347" s="1"/>
    </row>
    <row r="348" spans="1:14" ht="22.5" customHeight="1">
      <c r="A348" s="1"/>
      <c r="B348" s="1" t="e">
        <f t="array" aca="1" ref="B348" ca="1">_xludf.XLOOKUP(A348, 도서_정보[ID], 도서_정보[도서명], "")</f>
        <v>#NAME?</v>
      </c>
      <c r="C348" s="1" t="e">
        <f t="array" aca="1" ref="C348" ca="1">_xludf.XLOOKUP(A348, 도서_정보[ID], 도서_정보[작업 페이지], "")</f>
        <v>#NAME?</v>
      </c>
      <c r="D348" s="70" t="b">
        <v>0</v>
      </c>
      <c r="E348" s="70" t="b">
        <v>0</v>
      </c>
      <c r="F348" s="79" t="b">
        <v>0</v>
      </c>
      <c r="G348" s="70" t="b">
        <v>0</v>
      </c>
      <c r="H348" s="70" t="b">
        <v>0</v>
      </c>
      <c r="I348" s="70" t="b">
        <v>0</v>
      </c>
      <c r="J348" s="70" t="b">
        <v>0</v>
      </c>
      <c r="K348" s="79" t="b">
        <v>0</v>
      </c>
      <c r="L348" s="70" t="b">
        <v>0</v>
      </c>
      <c r="M348" s="70" t="b">
        <v>0</v>
      </c>
      <c r="N348" s="1"/>
    </row>
    <row r="349" spans="1:14" ht="22.5" customHeight="1">
      <c r="A349" s="1"/>
      <c r="B349" s="1" t="e">
        <f t="array" aca="1" ref="B349" ca="1">_xludf.XLOOKUP(A349, 도서_정보[ID], 도서_정보[도서명], "")</f>
        <v>#NAME?</v>
      </c>
      <c r="C349" s="1" t="e">
        <f t="array" aca="1" ref="C349" ca="1">_xludf.XLOOKUP(A349, 도서_정보[ID], 도서_정보[작업 페이지], "")</f>
        <v>#NAME?</v>
      </c>
      <c r="D349" s="70" t="b">
        <v>0</v>
      </c>
      <c r="E349" s="70" t="b">
        <v>0</v>
      </c>
      <c r="F349" s="79" t="b">
        <v>0</v>
      </c>
      <c r="G349" s="70" t="b">
        <v>0</v>
      </c>
      <c r="H349" s="70" t="b">
        <v>0</v>
      </c>
      <c r="I349" s="70" t="b">
        <v>0</v>
      </c>
      <c r="J349" s="70" t="b">
        <v>0</v>
      </c>
      <c r="K349" s="79" t="b">
        <v>0</v>
      </c>
      <c r="L349" s="70" t="b">
        <v>0</v>
      </c>
      <c r="M349" s="70" t="b">
        <v>0</v>
      </c>
      <c r="N349" s="1"/>
    </row>
    <row r="350" spans="1:14" ht="22.5" customHeight="1">
      <c r="A350" s="1"/>
      <c r="B350" s="1" t="e">
        <f t="array" aca="1" ref="B350" ca="1">_xludf.XLOOKUP(A350, 도서_정보[ID], 도서_정보[도서명], "")</f>
        <v>#NAME?</v>
      </c>
      <c r="C350" s="1" t="e">
        <f t="array" aca="1" ref="C350" ca="1">_xludf.XLOOKUP(A350, 도서_정보[ID], 도서_정보[작업 페이지], "")</f>
        <v>#NAME?</v>
      </c>
      <c r="D350" s="70" t="b">
        <v>0</v>
      </c>
      <c r="E350" s="70" t="b">
        <v>0</v>
      </c>
      <c r="F350" s="79" t="b">
        <v>0</v>
      </c>
      <c r="G350" s="70" t="b">
        <v>0</v>
      </c>
      <c r="H350" s="70" t="b">
        <v>0</v>
      </c>
      <c r="I350" s="70" t="b">
        <v>0</v>
      </c>
      <c r="J350" s="70" t="b">
        <v>0</v>
      </c>
      <c r="K350" s="79" t="b">
        <v>0</v>
      </c>
      <c r="L350" s="70" t="b">
        <v>0</v>
      </c>
      <c r="M350" s="70" t="b">
        <v>0</v>
      </c>
      <c r="N350" s="1"/>
    </row>
    <row r="351" spans="1:14" ht="22.5" customHeight="1">
      <c r="A351" s="1"/>
      <c r="B351" s="1" t="e">
        <f t="array" aca="1" ref="B351" ca="1">_xludf.XLOOKUP(A351, 도서_정보[ID], 도서_정보[도서명], "")</f>
        <v>#NAME?</v>
      </c>
      <c r="C351" s="1" t="e">
        <f t="array" aca="1" ref="C351" ca="1">_xludf.XLOOKUP(A351, 도서_정보[ID], 도서_정보[작업 페이지], "")</f>
        <v>#NAME?</v>
      </c>
      <c r="D351" s="70" t="b">
        <v>0</v>
      </c>
      <c r="E351" s="70" t="b">
        <v>0</v>
      </c>
      <c r="F351" s="79" t="b">
        <v>0</v>
      </c>
      <c r="G351" s="70" t="b">
        <v>0</v>
      </c>
      <c r="H351" s="70" t="b">
        <v>0</v>
      </c>
      <c r="I351" s="70" t="b">
        <v>0</v>
      </c>
      <c r="J351" s="70" t="b">
        <v>0</v>
      </c>
      <c r="K351" s="79" t="b">
        <v>0</v>
      </c>
      <c r="L351" s="70" t="b">
        <v>0</v>
      </c>
      <c r="M351" s="70" t="b">
        <v>0</v>
      </c>
      <c r="N351" s="1"/>
    </row>
    <row r="352" spans="1:14" ht="22.5" customHeight="1">
      <c r="A352" s="1"/>
      <c r="B352" s="1" t="e">
        <f t="array" aca="1" ref="B352" ca="1">_xludf.XLOOKUP(A352, 도서_정보[ID], 도서_정보[도서명], "")</f>
        <v>#NAME?</v>
      </c>
      <c r="C352" s="1" t="e">
        <f t="array" aca="1" ref="C352" ca="1">_xludf.XLOOKUP(A352, 도서_정보[ID], 도서_정보[작업 페이지], "")</f>
        <v>#NAME?</v>
      </c>
      <c r="D352" s="70" t="b">
        <v>0</v>
      </c>
      <c r="E352" s="70" t="b">
        <v>0</v>
      </c>
      <c r="F352" s="79" t="b">
        <v>0</v>
      </c>
      <c r="G352" s="70" t="b">
        <v>0</v>
      </c>
      <c r="H352" s="70" t="b">
        <v>0</v>
      </c>
      <c r="I352" s="70" t="b">
        <v>0</v>
      </c>
      <c r="J352" s="70" t="b">
        <v>0</v>
      </c>
      <c r="K352" s="79" t="b">
        <v>0</v>
      </c>
      <c r="L352" s="70" t="b">
        <v>0</v>
      </c>
      <c r="M352" s="70" t="b">
        <v>0</v>
      </c>
      <c r="N352" s="1"/>
    </row>
    <row r="353" spans="1:14" ht="22.5" customHeight="1">
      <c r="A353" s="1"/>
      <c r="B353" s="1" t="e">
        <f t="array" aca="1" ref="B353" ca="1">_xludf.XLOOKUP(A353, 도서_정보[ID], 도서_정보[도서명], "")</f>
        <v>#NAME?</v>
      </c>
      <c r="C353" s="1" t="e">
        <f t="array" aca="1" ref="C353" ca="1">_xludf.XLOOKUP(A353, 도서_정보[ID], 도서_정보[작업 페이지], "")</f>
        <v>#NAME?</v>
      </c>
      <c r="D353" s="70" t="b">
        <v>0</v>
      </c>
      <c r="E353" s="70" t="b">
        <v>0</v>
      </c>
      <c r="F353" s="79" t="b">
        <v>0</v>
      </c>
      <c r="G353" s="70" t="b">
        <v>0</v>
      </c>
      <c r="H353" s="70" t="b">
        <v>0</v>
      </c>
      <c r="I353" s="70" t="b">
        <v>0</v>
      </c>
      <c r="J353" s="70" t="b">
        <v>0</v>
      </c>
      <c r="K353" s="79" t="b">
        <v>0</v>
      </c>
      <c r="L353" s="70" t="b">
        <v>0</v>
      </c>
      <c r="M353" s="70" t="b">
        <v>0</v>
      </c>
      <c r="N353" s="1"/>
    </row>
    <row r="354" spans="1:14" ht="22.5" customHeight="1">
      <c r="A354" s="1"/>
      <c r="B354" s="1" t="e">
        <f t="array" aca="1" ref="B354" ca="1">_xludf.XLOOKUP(A354, 도서_정보[ID], 도서_정보[도서명], "")</f>
        <v>#NAME?</v>
      </c>
      <c r="C354" s="1" t="e">
        <f t="array" aca="1" ref="C354" ca="1">_xludf.XLOOKUP(A354, 도서_정보[ID], 도서_정보[작업 페이지], "")</f>
        <v>#NAME?</v>
      </c>
      <c r="D354" s="70" t="b">
        <v>0</v>
      </c>
      <c r="E354" s="70" t="b">
        <v>0</v>
      </c>
      <c r="F354" s="79" t="b">
        <v>0</v>
      </c>
      <c r="G354" s="70" t="b">
        <v>0</v>
      </c>
      <c r="H354" s="70" t="b">
        <v>0</v>
      </c>
      <c r="I354" s="70" t="b">
        <v>0</v>
      </c>
      <c r="J354" s="70" t="b">
        <v>0</v>
      </c>
      <c r="K354" s="79" t="b">
        <v>0</v>
      </c>
      <c r="L354" s="70" t="b">
        <v>0</v>
      </c>
      <c r="M354" s="70" t="b">
        <v>0</v>
      </c>
      <c r="N354" s="1"/>
    </row>
    <row r="355" spans="1:14" ht="22.5" customHeight="1">
      <c r="A355" s="1"/>
      <c r="B355" s="1" t="e">
        <f t="array" aca="1" ref="B355" ca="1">_xludf.XLOOKUP(A355, 도서_정보[ID], 도서_정보[도서명], "")</f>
        <v>#NAME?</v>
      </c>
      <c r="C355" s="1" t="e">
        <f t="array" aca="1" ref="C355" ca="1">_xludf.XLOOKUP(A355, 도서_정보[ID], 도서_정보[작업 페이지], "")</f>
        <v>#NAME?</v>
      </c>
      <c r="D355" s="70" t="b">
        <v>0</v>
      </c>
      <c r="E355" s="70" t="b">
        <v>0</v>
      </c>
      <c r="F355" s="79" t="b">
        <v>0</v>
      </c>
      <c r="G355" s="70" t="b">
        <v>0</v>
      </c>
      <c r="H355" s="70" t="b">
        <v>0</v>
      </c>
      <c r="I355" s="70" t="b">
        <v>0</v>
      </c>
      <c r="J355" s="70" t="b">
        <v>0</v>
      </c>
      <c r="K355" s="79" t="b">
        <v>0</v>
      </c>
      <c r="L355" s="70" t="b">
        <v>0</v>
      </c>
      <c r="M355" s="70" t="b">
        <v>0</v>
      </c>
      <c r="N355" s="1"/>
    </row>
    <row r="356" spans="1:14" ht="22.5" customHeight="1">
      <c r="A356" s="1"/>
      <c r="B356" s="1" t="e">
        <f t="array" aca="1" ref="B356" ca="1">_xludf.XLOOKUP(A356, 도서_정보[ID], 도서_정보[도서명], "")</f>
        <v>#NAME?</v>
      </c>
      <c r="C356" s="1" t="e">
        <f t="array" aca="1" ref="C356" ca="1">_xludf.XLOOKUP(A356, 도서_정보[ID], 도서_정보[작업 페이지], "")</f>
        <v>#NAME?</v>
      </c>
      <c r="D356" s="70" t="b">
        <v>0</v>
      </c>
      <c r="E356" s="70" t="b">
        <v>0</v>
      </c>
      <c r="F356" s="79" t="b">
        <v>0</v>
      </c>
      <c r="G356" s="70" t="b">
        <v>0</v>
      </c>
      <c r="H356" s="70" t="b">
        <v>0</v>
      </c>
      <c r="I356" s="70" t="b">
        <v>0</v>
      </c>
      <c r="J356" s="70" t="b">
        <v>0</v>
      </c>
      <c r="K356" s="79" t="b">
        <v>0</v>
      </c>
      <c r="L356" s="70" t="b">
        <v>0</v>
      </c>
      <c r="M356" s="70" t="b">
        <v>0</v>
      </c>
      <c r="N356" s="1"/>
    </row>
    <row r="357" spans="1:14" ht="22.5" customHeight="1">
      <c r="A357" s="1"/>
      <c r="B357" s="1" t="e">
        <f t="array" aca="1" ref="B357" ca="1">_xludf.XLOOKUP(A357, 도서_정보[ID], 도서_정보[도서명], "")</f>
        <v>#NAME?</v>
      </c>
      <c r="C357" s="1" t="e">
        <f t="array" aca="1" ref="C357" ca="1">_xludf.XLOOKUP(A357, 도서_정보[ID], 도서_정보[작업 페이지], "")</f>
        <v>#NAME?</v>
      </c>
      <c r="D357" s="70" t="b">
        <v>0</v>
      </c>
      <c r="E357" s="70" t="b">
        <v>0</v>
      </c>
      <c r="F357" s="79" t="b">
        <v>0</v>
      </c>
      <c r="G357" s="70" t="b">
        <v>0</v>
      </c>
      <c r="H357" s="70" t="b">
        <v>0</v>
      </c>
      <c r="I357" s="70" t="b">
        <v>0</v>
      </c>
      <c r="J357" s="70" t="b">
        <v>0</v>
      </c>
      <c r="K357" s="79" t="b">
        <v>0</v>
      </c>
      <c r="L357" s="70" t="b">
        <v>0</v>
      </c>
      <c r="M357" s="70" t="b">
        <v>0</v>
      </c>
      <c r="N357" s="1"/>
    </row>
    <row r="358" spans="1:14" ht="22.5" customHeight="1">
      <c r="A358" s="1"/>
      <c r="B358" s="1" t="e">
        <f t="array" aca="1" ref="B358" ca="1">_xludf.XLOOKUP(A358, 도서_정보[ID], 도서_정보[도서명], "")</f>
        <v>#NAME?</v>
      </c>
      <c r="C358" s="1" t="e">
        <f t="array" aca="1" ref="C358" ca="1">_xludf.XLOOKUP(A358, 도서_정보[ID], 도서_정보[작업 페이지], "")</f>
        <v>#NAME?</v>
      </c>
      <c r="D358" s="70" t="b">
        <v>0</v>
      </c>
      <c r="E358" s="70" t="b">
        <v>0</v>
      </c>
      <c r="F358" s="79" t="b">
        <v>0</v>
      </c>
      <c r="G358" s="70" t="b">
        <v>0</v>
      </c>
      <c r="H358" s="70" t="b">
        <v>0</v>
      </c>
      <c r="I358" s="70" t="b">
        <v>0</v>
      </c>
      <c r="J358" s="70" t="b">
        <v>0</v>
      </c>
      <c r="K358" s="79" t="b">
        <v>0</v>
      </c>
      <c r="L358" s="70" t="b">
        <v>0</v>
      </c>
      <c r="M358" s="70" t="b">
        <v>0</v>
      </c>
      <c r="N358" s="1"/>
    </row>
    <row r="359" spans="1:14" ht="22.5" customHeight="1">
      <c r="A359" s="1"/>
      <c r="B359" s="1" t="e">
        <f t="array" aca="1" ref="B359" ca="1">_xludf.XLOOKUP(A359, 도서_정보[ID], 도서_정보[도서명], "")</f>
        <v>#NAME?</v>
      </c>
      <c r="C359" s="1" t="e">
        <f t="array" aca="1" ref="C359" ca="1">_xludf.XLOOKUP(A359, 도서_정보[ID], 도서_정보[작업 페이지], "")</f>
        <v>#NAME?</v>
      </c>
      <c r="D359" s="70" t="b">
        <v>0</v>
      </c>
      <c r="E359" s="70" t="b">
        <v>0</v>
      </c>
      <c r="F359" s="79" t="b">
        <v>0</v>
      </c>
      <c r="G359" s="70" t="b">
        <v>0</v>
      </c>
      <c r="H359" s="70" t="b">
        <v>0</v>
      </c>
      <c r="I359" s="70" t="b">
        <v>0</v>
      </c>
      <c r="J359" s="70" t="b">
        <v>0</v>
      </c>
      <c r="K359" s="79" t="b">
        <v>0</v>
      </c>
      <c r="L359" s="70" t="b">
        <v>0</v>
      </c>
      <c r="M359" s="70" t="b">
        <v>0</v>
      </c>
      <c r="N359" s="1"/>
    </row>
    <row r="360" spans="1:14" ht="22.5" customHeight="1">
      <c r="A360" s="1"/>
      <c r="B360" s="1" t="e">
        <f t="array" aca="1" ref="B360" ca="1">_xludf.XLOOKUP(A360, 도서_정보[ID], 도서_정보[도서명], "")</f>
        <v>#NAME?</v>
      </c>
      <c r="C360" s="1" t="e">
        <f t="array" aca="1" ref="C360" ca="1">_xludf.XLOOKUP(A360, 도서_정보[ID], 도서_정보[작업 페이지], "")</f>
        <v>#NAME?</v>
      </c>
      <c r="D360" s="70" t="b">
        <v>0</v>
      </c>
      <c r="E360" s="70" t="b">
        <v>0</v>
      </c>
      <c r="F360" s="79" t="b">
        <v>0</v>
      </c>
      <c r="G360" s="70" t="b">
        <v>0</v>
      </c>
      <c r="H360" s="70" t="b">
        <v>0</v>
      </c>
      <c r="I360" s="70" t="b">
        <v>0</v>
      </c>
      <c r="J360" s="70" t="b">
        <v>0</v>
      </c>
      <c r="K360" s="79" t="b">
        <v>0</v>
      </c>
      <c r="L360" s="70" t="b">
        <v>0</v>
      </c>
      <c r="M360" s="70" t="b">
        <v>0</v>
      </c>
      <c r="N360" s="1"/>
    </row>
    <row r="361" spans="1:14" ht="22.5" customHeight="1">
      <c r="A361" s="1"/>
      <c r="B361" s="1" t="e">
        <f t="array" aca="1" ref="B361" ca="1">_xludf.XLOOKUP(A361, 도서_정보[ID], 도서_정보[도서명], "")</f>
        <v>#NAME?</v>
      </c>
      <c r="C361" s="1" t="e">
        <f t="array" aca="1" ref="C361" ca="1">_xludf.XLOOKUP(A361, 도서_정보[ID], 도서_정보[작업 페이지], "")</f>
        <v>#NAME?</v>
      </c>
      <c r="D361" s="70" t="b">
        <v>0</v>
      </c>
      <c r="E361" s="70" t="b">
        <v>0</v>
      </c>
      <c r="F361" s="79" t="b">
        <v>0</v>
      </c>
      <c r="G361" s="70" t="b">
        <v>0</v>
      </c>
      <c r="H361" s="70" t="b">
        <v>0</v>
      </c>
      <c r="I361" s="70" t="b">
        <v>0</v>
      </c>
      <c r="J361" s="70" t="b">
        <v>0</v>
      </c>
      <c r="K361" s="79" t="b">
        <v>0</v>
      </c>
      <c r="L361" s="70" t="b">
        <v>0</v>
      </c>
      <c r="M361" s="70" t="b">
        <v>0</v>
      </c>
      <c r="N361" s="1"/>
    </row>
    <row r="362" spans="1:14" ht="22.5" customHeight="1">
      <c r="A362" s="1"/>
      <c r="B362" s="1" t="e">
        <f t="array" aca="1" ref="B362" ca="1">_xludf.XLOOKUP(A362, 도서_정보[ID], 도서_정보[도서명], "")</f>
        <v>#NAME?</v>
      </c>
      <c r="C362" s="1" t="e">
        <f t="array" aca="1" ref="C362" ca="1">_xludf.XLOOKUP(A362, 도서_정보[ID], 도서_정보[작업 페이지], "")</f>
        <v>#NAME?</v>
      </c>
      <c r="D362" s="70" t="b">
        <v>0</v>
      </c>
      <c r="E362" s="70" t="b">
        <v>0</v>
      </c>
      <c r="F362" s="79" t="b">
        <v>0</v>
      </c>
      <c r="G362" s="70" t="b">
        <v>0</v>
      </c>
      <c r="H362" s="70" t="b">
        <v>0</v>
      </c>
      <c r="I362" s="70" t="b">
        <v>0</v>
      </c>
      <c r="J362" s="70" t="b">
        <v>0</v>
      </c>
      <c r="K362" s="79" t="b">
        <v>0</v>
      </c>
      <c r="L362" s="70" t="b">
        <v>0</v>
      </c>
      <c r="M362" s="70" t="b">
        <v>0</v>
      </c>
      <c r="N362" s="1"/>
    </row>
    <row r="363" spans="1:14" ht="22.5" customHeight="1">
      <c r="A363" s="1"/>
      <c r="B363" s="1" t="e">
        <f t="array" aca="1" ref="B363" ca="1">_xludf.XLOOKUP(A363, 도서_정보[ID], 도서_정보[도서명], "")</f>
        <v>#NAME?</v>
      </c>
      <c r="C363" s="1" t="e">
        <f t="array" aca="1" ref="C363" ca="1">_xludf.XLOOKUP(A363, 도서_정보[ID], 도서_정보[작업 페이지], "")</f>
        <v>#NAME?</v>
      </c>
      <c r="D363" s="70" t="b">
        <v>0</v>
      </c>
      <c r="E363" s="70" t="b">
        <v>0</v>
      </c>
      <c r="F363" s="79" t="b">
        <v>0</v>
      </c>
      <c r="G363" s="70" t="b">
        <v>0</v>
      </c>
      <c r="H363" s="70" t="b">
        <v>0</v>
      </c>
      <c r="I363" s="70" t="b">
        <v>0</v>
      </c>
      <c r="J363" s="70" t="b">
        <v>0</v>
      </c>
      <c r="K363" s="79" t="b">
        <v>0</v>
      </c>
      <c r="L363" s="70" t="b">
        <v>0</v>
      </c>
      <c r="M363" s="70" t="b">
        <v>0</v>
      </c>
      <c r="N363" s="1"/>
    </row>
    <row r="364" spans="1:14" ht="22.5" customHeight="1">
      <c r="A364" s="1"/>
      <c r="B364" s="1" t="e">
        <f t="array" aca="1" ref="B364" ca="1">_xludf.XLOOKUP(A364, 도서_정보[ID], 도서_정보[도서명], "")</f>
        <v>#NAME?</v>
      </c>
      <c r="C364" s="1" t="e">
        <f t="array" aca="1" ref="C364" ca="1">_xludf.XLOOKUP(A364, 도서_정보[ID], 도서_정보[작업 페이지], "")</f>
        <v>#NAME?</v>
      </c>
      <c r="D364" s="70" t="b">
        <v>0</v>
      </c>
      <c r="E364" s="70" t="b">
        <v>0</v>
      </c>
      <c r="F364" s="79" t="b">
        <v>0</v>
      </c>
      <c r="G364" s="70" t="b">
        <v>0</v>
      </c>
      <c r="H364" s="70" t="b">
        <v>0</v>
      </c>
      <c r="I364" s="70" t="b">
        <v>0</v>
      </c>
      <c r="J364" s="70" t="b">
        <v>0</v>
      </c>
      <c r="K364" s="79" t="b">
        <v>0</v>
      </c>
      <c r="L364" s="70" t="b">
        <v>0</v>
      </c>
      <c r="M364" s="70" t="b">
        <v>0</v>
      </c>
      <c r="N364" s="1"/>
    </row>
    <row r="365" spans="1:14" ht="22.5" customHeight="1">
      <c r="A365" s="1"/>
      <c r="B365" s="1" t="e">
        <f t="array" aca="1" ref="B365" ca="1">_xludf.XLOOKUP(A365, 도서_정보[ID], 도서_정보[도서명], "")</f>
        <v>#NAME?</v>
      </c>
      <c r="C365" s="1" t="e">
        <f t="array" aca="1" ref="C365" ca="1">_xludf.XLOOKUP(A365, 도서_정보[ID], 도서_정보[작업 페이지], "")</f>
        <v>#NAME?</v>
      </c>
      <c r="D365" s="70" t="b">
        <v>0</v>
      </c>
      <c r="E365" s="70" t="b">
        <v>0</v>
      </c>
      <c r="F365" s="79" t="b">
        <v>0</v>
      </c>
      <c r="G365" s="70" t="b">
        <v>0</v>
      </c>
      <c r="H365" s="70" t="b">
        <v>0</v>
      </c>
      <c r="I365" s="70" t="b">
        <v>0</v>
      </c>
      <c r="J365" s="70" t="b">
        <v>0</v>
      </c>
      <c r="K365" s="79" t="b">
        <v>0</v>
      </c>
      <c r="L365" s="70" t="b">
        <v>0</v>
      </c>
      <c r="M365" s="70" t="b">
        <v>0</v>
      </c>
      <c r="N365" s="1"/>
    </row>
    <row r="366" spans="1:14" ht="22.5" customHeight="1">
      <c r="A366" s="1"/>
      <c r="B366" s="1" t="e">
        <f t="array" aca="1" ref="B366" ca="1">_xludf.XLOOKUP(A366, 도서_정보[ID], 도서_정보[도서명], "")</f>
        <v>#NAME?</v>
      </c>
      <c r="C366" s="1" t="e">
        <f t="array" aca="1" ref="C366" ca="1">_xludf.XLOOKUP(A366, 도서_정보[ID], 도서_정보[작업 페이지], "")</f>
        <v>#NAME?</v>
      </c>
      <c r="D366" s="70" t="b">
        <v>0</v>
      </c>
      <c r="E366" s="70" t="b">
        <v>0</v>
      </c>
      <c r="F366" s="79" t="b">
        <v>0</v>
      </c>
      <c r="G366" s="70" t="b">
        <v>0</v>
      </c>
      <c r="H366" s="70" t="b">
        <v>0</v>
      </c>
      <c r="I366" s="70" t="b">
        <v>0</v>
      </c>
      <c r="J366" s="70" t="b">
        <v>0</v>
      </c>
      <c r="K366" s="79" t="b">
        <v>0</v>
      </c>
      <c r="L366" s="70" t="b">
        <v>0</v>
      </c>
      <c r="M366" s="70" t="b">
        <v>0</v>
      </c>
      <c r="N366" s="1"/>
    </row>
    <row r="367" spans="1:14" ht="22.5" customHeight="1">
      <c r="A367" s="1"/>
      <c r="B367" s="1" t="e">
        <f t="array" aca="1" ref="B367" ca="1">_xludf.XLOOKUP(A367, 도서_정보[ID], 도서_정보[도서명], "")</f>
        <v>#NAME?</v>
      </c>
      <c r="C367" s="1" t="e">
        <f t="array" aca="1" ref="C367" ca="1">_xludf.XLOOKUP(A367, 도서_정보[ID], 도서_정보[작업 페이지], "")</f>
        <v>#NAME?</v>
      </c>
      <c r="D367" s="70" t="b">
        <v>0</v>
      </c>
      <c r="E367" s="70" t="b">
        <v>0</v>
      </c>
      <c r="F367" s="79" t="b">
        <v>0</v>
      </c>
      <c r="G367" s="70" t="b">
        <v>0</v>
      </c>
      <c r="H367" s="70" t="b">
        <v>0</v>
      </c>
      <c r="I367" s="70" t="b">
        <v>0</v>
      </c>
      <c r="J367" s="70" t="b">
        <v>0</v>
      </c>
      <c r="K367" s="79" t="b">
        <v>0</v>
      </c>
      <c r="L367" s="70" t="b">
        <v>0</v>
      </c>
      <c r="M367" s="70" t="b">
        <v>0</v>
      </c>
      <c r="N367" s="1"/>
    </row>
    <row r="368" spans="1:14" ht="22.5" customHeight="1">
      <c r="A368" s="1"/>
      <c r="B368" s="1" t="e">
        <f t="array" aca="1" ref="B368" ca="1">_xludf.XLOOKUP(A368, 도서_정보[ID], 도서_정보[도서명], "")</f>
        <v>#NAME?</v>
      </c>
      <c r="C368" s="1" t="e">
        <f t="array" aca="1" ref="C368" ca="1">_xludf.XLOOKUP(A368, 도서_정보[ID], 도서_정보[작업 페이지], "")</f>
        <v>#NAME?</v>
      </c>
      <c r="D368" s="70" t="b">
        <v>0</v>
      </c>
      <c r="E368" s="70" t="b">
        <v>0</v>
      </c>
      <c r="F368" s="79" t="b">
        <v>0</v>
      </c>
      <c r="G368" s="70" t="b">
        <v>0</v>
      </c>
      <c r="H368" s="70" t="b">
        <v>0</v>
      </c>
      <c r="I368" s="70" t="b">
        <v>0</v>
      </c>
      <c r="J368" s="70" t="b">
        <v>0</v>
      </c>
      <c r="K368" s="79" t="b">
        <v>0</v>
      </c>
      <c r="L368" s="70" t="b">
        <v>0</v>
      </c>
      <c r="M368" s="70" t="b">
        <v>0</v>
      </c>
      <c r="N368" s="1"/>
    </row>
    <row r="369" spans="1:14" ht="22.5" customHeight="1">
      <c r="A369" s="1"/>
      <c r="B369" s="1" t="e">
        <f t="array" aca="1" ref="B369" ca="1">_xludf.XLOOKUP(A369, 도서_정보[ID], 도서_정보[도서명], "")</f>
        <v>#NAME?</v>
      </c>
      <c r="C369" s="1" t="e">
        <f t="array" aca="1" ref="C369" ca="1">_xludf.XLOOKUP(A369, 도서_정보[ID], 도서_정보[작업 페이지], "")</f>
        <v>#NAME?</v>
      </c>
      <c r="D369" s="70" t="b">
        <v>0</v>
      </c>
      <c r="E369" s="70" t="b">
        <v>0</v>
      </c>
      <c r="F369" s="79" t="b">
        <v>0</v>
      </c>
      <c r="G369" s="70" t="b">
        <v>0</v>
      </c>
      <c r="H369" s="70" t="b">
        <v>0</v>
      </c>
      <c r="I369" s="70" t="b">
        <v>0</v>
      </c>
      <c r="J369" s="70" t="b">
        <v>0</v>
      </c>
      <c r="K369" s="79" t="b">
        <v>0</v>
      </c>
      <c r="L369" s="70" t="b">
        <v>0</v>
      </c>
      <c r="M369" s="70" t="b">
        <v>0</v>
      </c>
      <c r="N369" s="1"/>
    </row>
    <row r="370" spans="1:14" ht="22.5" customHeight="1">
      <c r="A370" s="1"/>
      <c r="B370" s="1" t="e">
        <f t="array" aca="1" ref="B370" ca="1">_xludf.XLOOKUP(A370, 도서_정보[ID], 도서_정보[도서명], "")</f>
        <v>#NAME?</v>
      </c>
      <c r="C370" s="1" t="e">
        <f t="array" aca="1" ref="C370" ca="1">_xludf.XLOOKUP(A370, 도서_정보[ID], 도서_정보[작업 페이지], "")</f>
        <v>#NAME?</v>
      </c>
      <c r="D370" s="70" t="b">
        <v>0</v>
      </c>
      <c r="E370" s="70" t="b">
        <v>0</v>
      </c>
      <c r="F370" s="79" t="b">
        <v>0</v>
      </c>
      <c r="G370" s="70" t="b">
        <v>0</v>
      </c>
      <c r="H370" s="70" t="b">
        <v>0</v>
      </c>
      <c r="I370" s="70" t="b">
        <v>0</v>
      </c>
      <c r="J370" s="70" t="b">
        <v>0</v>
      </c>
      <c r="K370" s="79" t="b">
        <v>0</v>
      </c>
      <c r="L370" s="70" t="b">
        <v>0</v>
      </c>
      <c r="M370" s="70" t="b">
        <v>0</v>
      </c>
      <c r="N370" s="1"/>
    </row>
    <row r="371" spans="1:14" ht="22.5" customHeight="1">
      <c r="A371" s="1"/>
      <c r="B371" s="1" t="e">
        <f t="array" aca="1" ref="B371" ca="1">_xludf.XLOOKUP(A371, 도서_정보[ID], 도서_정보[도서명], "")</f>
        <v>#NAME?</v>
      </c>
      <c r="C371" s="1" t="e">
        <f t="array" aca="1" ref="C371" ca="1">_xludf.XLOOKUP(A371, 도서_정보[ID], 도서_정보[작업 페이지], "")</f>
        <v>#NAME?</v>
      </c>
      <c r="D371" s="70" t="b">
        <v>0</v>
      </c>
      <c r="E371" s="70" t="b">
        <v>0</v>
      </c>
      <c r="F371" s="79" t="b">
        <v>0</v>
      </c>
      <c r="G371" s="70" t="b">
        <v>0</v>
      </c>
      <c r="H371" s="70" t="b">
        <v>0</v>
      </c>
      <c r="I371" s="70" t="b">
        <v>0</v>
      </c>
      <c r="J371" s="70" t="b">
        <v>0</v>
      </c>
      <c r="K371" s="79" t="b">
        <v>0</v>
      </c>
      <c r="L371" s="70" t="b">
        <v>0</v>
      </c>
      <c r="M371" s="70" t="b">
        <v>0</v>
      </c>
      <c r="N371" s="1"/>
    </row>
    <row r="372" spans="1:14" ht="22.5" customHeight="1">
      <c r="A372" s="1"/>
      <c r="B372" s="1" t="e">
        <f t="array" aca="1" ref="B372" ca="1">_xludf.XLOOKUP(A372, 도서_정보[ID], 도서_정보[도서명], "")</f>
        <v>#NAME?</v>
      </c>
      <c r="C372" s="1" t="e">
        <f t="array" aca="1" ref="C372" ca="1">_xludf.XLOOKUP(A372, 도서_정보[ID], 도서_정보[작업 페이지], "")</f>
        <v>#NAME?</v>
      </c>
      <c r="D372" s="70" t="b">
        <v>0</v>
      </c>
      <c r="E372" s="70" t="b">
        <v>0</v>
      </c>
      <c r="F372" s="79" t="b">
        <v>0</v>
      </c>
      <c r="G372" s="70" t="b">
        <v>0</v>
      </c>
      <c r="H372" s="70" t="b">
        <v>0</v>
      </c>
      <c r="I372" s="70" t="b">
        <v>0</v>
      </c>
      <c r="J372" s="70" t="b">
        <v>0</v>
      </c>
      <c r="K372" s="79" t="b">
        <v>0</v>
      </c>
      <c r="L372" s="70" t="b">
        <v>0</v>
      </c>
      <c r="M372" s="70" t="b">
        <v>0</v>
      </c>
      <c r="N372" s="1"/>
    </row>
    <row r="373" spans="1:14" ht="22.5" customHeight="1">
      <c r="A373" s="1"/>
      <c r="B373" s="1" t="e">
        <f t="array" aca="1" ref="B373" ca="1">_xludf.XLOOKUP(A373, 도서_정보[ID], 도서_정보[도서명], "")</f>
        <v>#NAME?</v>
      </c>
      <c r="C373" s="1" t="e">
        <f t="array" aca="1" ref="C373" ca="1">_xludf.XLOOKUP(A373, 도서_정보[ID], 도서_정보[작업 페이지], "")</f>
        <v>#NAME?</v>
      </c>
      <c r="D373" s="70" t="b">
        <v>0</v>
      </c>
      <c r="E373" s="70" t="b">
        <v>0</v>
      </c>
      <c r="F373" s="79" t="b">
        <v>0</v>
      </c>
      <c r="G373" s="70" t="b">
        <v>0</v>
      </c>
      <c r="H373" s="70" t="b">
        <v>0</v>
      </c>
      <c r="I373" s="70" t="b">
        <v>0</v>
      </c>
      <c r="J373" s="70" t="b">
        <v>0</v>
      </c>
      <c r="K373" s="79" t="b">
        <v>0</v>
      </c>
      <c r="L373" s="70" t="b">
        <v>0</v>
      </c>
      <c r="M373" s="70" t="b">
        <v>0</v>
      </c>
      <c r="N373" s="1"/>
    </row>
    <row r="374" spans="1:14" ht="22.5" customHeight="1">
      <c r="A374" s="1"/>
      <c r="B374" s="1" t="e">
        <f t="array" aca="1" ref="B374" ca="1">_xludf.XLOOKUP(A374, 도서_정보[ID], 도서_정보[도서명], "")</f>
        <v>#NAME?</v>
      </c>
      <c r="C374" s="1" t="e">
        <f t="array" aca="1" ref="C374" ca="1">_xludf.XLOOKUP(A374, 도서_정보[ID], 도서_정보[작업 페이지], "")</f>
        <v>#NAME?</v>
      </c>
      <c r="D374" s="70" t="b">
        <v>0</v>
      </c>
      <c r="E374" s="70" t="b">
        <v>0</v>
      </c>
      <c r="F374" s="79" t="b">
        <v>0</v>
      </c>
      <c r="G374" s="70" t="b">
        <v>0</v>
      </c>
      <c r="H374" s="70" t="b">
        <v>0</v>
      </c>
      <c r="I374" s="70" t="b">
        <v>0</v>
      </c>
      <c r="J374" s="70" t="b">
        <v>0</v>
      </c>
      <c r="K374" s="79" t="b">
        <v>0</v>
      </c>
      <c r="L374" s="70" t="b">
        <v>0</v>
      </c>
      <c r="M374" s="70" t="b">
        <v>0</v>
      </c>
      <c r="N374" s="1"/>
    </row>
    <row r="375" spans="1:14" ht="22.5" customHeight="1">
      <c r="A375" s="1"/>
      <c r="B375" s="1" t="e">
        <f t="array" aca="1" ref="B375" ca="1">_xludf.XLOOKUP(A375, 도서_정보[ID], 도서_정보[도서명], "")</f>
        <v>#NAME?</v>
      </c>
      <c r="C375" s="1" t="e">
        <f t="array" aca="1" ref="C375" ca="1">_xludf.XLOOKUP(A375, 도서_정보[ID], 도서_정보[작업 페이지], "")</f>
        <v>#NAME?</v>
      </c>
      <c r="D375" s="70" t="b">
        <v>0</v>
      </c>
      <c r="E375" s="70" t="b">
        <v>0</v>
      </c>
      <c r="F375" s="79" t="b">
        <v>0</v>
      </c>
      <c r="G375" s="70" t="b">
        <v>0</v>
      </c>
      <c r="H375" s="70" t="b">
        <v>0</v>
      </c>
      <c r="I375" s="70" t="b">
        <v>0</v>
      </c>
      <c r="J375" s="70" t="b">
        <v>0</v>
      </c>
      <c r="K375" s="79" t="b">
        <v>0</v>
      </c>
      <c r="L375" s="70" t="b">
        <v>0</v>
      </c>
      <c r="M375" s="70" t="b">
        <v>0</v>
      </c>
      <c r="N375" s="1"/>
    </row>
    <row r="376" spans="1:14" ht="22.5" customHeight="1">
      <c r="A376" s="1"/>
      <c r="B376" s="1" t="e">
        <f t="array" aca="1" ref="B376" ca="1">_xludf.XLOOKUP(A376, 도서_정보[ID], 도서_정보[도서명], "")</f>
        <v>#NAME?</v>
      </c>
      <c r="C376" s="1" t="e">
        <f t="array" aca="1" ref="C376" ca="1">_xludf.XLOOKUP(A376, 도서_정보[ID], 도서_정보[작업 페이지], "")</f>
        <v>#NAME?</v>
      </c>
      <c r="D376" s="70" t="b">
        <v>0</v>
      </c>
      <c r="E376" s="70" t="b">
        <v>0</v>
      </c>
      <c r="F376" s="79" t="b">
        <v>0</v>
      </c>
      <c r="G376" s="70" t="b">
        <v>0</v>
      </c>
      <c r="H376" s="70" t="b">
        <v>0</v>
      </c>
      <c r="I376" s="70" t="b">
        <v>0</v>
      </c>
      <c r="J376" s="70" t="b">
        <v>0</v>
      </c>
      <c r="K376" s="79" t="b">
        <v>0</v>
      </c>
      <c r="L376" s="70" t="b">
        <v>0</v>
      </c>
      <c r="M376" s="70" t="b">
        <v>0</v>
      </c>
      <c r="N376" s="1"/>
    </row>
    <row r="377" spans="1:14" ht="22.5" customHeight="1">
      <c r="A377" s="1"/>
      <c r="B377" s="1" t="e">
        <f t="array" aca="1" ref="B377" ca="1">_xludf.XLOOKUP(A377, 도서_정보[ID], 도서_정보[도서명], "")</f>
        <v>#NAME?</v>
      </c>
      <c r="C377" s="1" t="e">
        <f t="array" aca="1" ref="C377" ca="1">_xludf.XLOOKUP(A377, 도서_정보[ID], 도서_정보[작업 페이지], "")</f>
        <v>#NAME?</v>
      </c>
      <c r="D377" s="70" t="b">
        <v>0</v>
      </c>
      <c r="E377" s="70" t="b">
        <v>0</v>
      </c>
      <c r="F377" s="79" t="b">
        <v>0</v>
      </c>
      <c r="G377" s="70" t="b">
        <v>0</v>
      </c>
      <c r="H377" s="70" t="b">
        <v>0</v>
      </c>
      <c r="I377" s="70" t="b">
        <v>0</v>
      </c>
      <c r="J377" s="70" t="b">
        <v>0</v>
      </c>
      <c r="K377" s="79" t="b">
        <v>0</v>
      </c>
      <c r="L377" s="70" t="b">
        <v>0</v>
      </c>
      <c r="M377" s="70" t="b">
        <v>0</v>
      </c>
      <c r="N377" s="1"/>
    </row>
    <row r="378" spans="1:14" ht="22.5" customHeight="1">
      <c r="A378" s="1"/>
      <c r="B378" s="1" t="e">
        <f t="array" aca="1" ref="B378" ca="1">_xludf.XLOOKUP(A378, 도서_정보[ID], 도서_정보[도서명], "")</f>
        <v>#NAME?</v>
      </c>
      <c r="C378" s="1" t="e">
        <f t="array" aca="1" ref="C378" ca="1">_xludf.XLOOKUP(A378, 도서_정보[ID], 도서_정보[작업 페이지], "")</f>
        <v>#NAME?</v>
      </c>
      <c r="D378" s="70" t="b">
        <v>0</v>
      </c>
      <c r="E378" s="70" t="b">
        <v>0</v>
      </c>
      <c r="F378" s="79" t="b">
        <v>0</v>
      </c>
      <c r="G378" s="70" t="b">
        <v>0</v>
      </c>
      <c r="H378" s="70" t="b">
        <v>0</v>
      </c>
      <c r="I378" s="70" t="b">
        <v>0</v>
      </c>
      <c r="J378" s="70" t="b">
        <v>0</v>
      </c>
      <c r="K378" s="79" t="b">
        <v>0</v>
      </c>
      <c r="L378" s="70" t="b">
        <v>0</v>
      </c>
      <c r="M378" s="70" t="b">
        <v>0</v>
      </c>
      <c r="N378" s="1"/>
    </row>
    <row r="379" spans="1:14" ht="22.5" customHeight="1">
      <c r="A379" s="1"/>
      <c r="B379" s="1" t="e">
        <f t="array" aca="1" ref="B379" ca="1">_xludf.XLOOKUP(A379, 도서_정보[ID], 도서_정보[도서명], "")</f>
        <v>#NAME?</v>
      </c>
      <c r="C379" s="1" t="e">
        <f t="array" aca="1" ref="C379" ca="1">_xludf.XLOOKUP(A379, 도서_정보[ID], 도서_정보[작업 페이지], "")</f>
        <v>#NAME?</v>
      </c>
      <c r="D379" s="70" t="b">
        <v>0</v>
      </c>
      <c r="E379" s="70" t="b">
        <v>0</v>
      </c>
      <c r="F379" s="79" t="b">
        <v>0</v>
      </c>
      <c r="G379" s="70" t="b">
        <v>0</v>
      </c>
      <c r="H379" s="70" t="b">
        <v>0</v>
      </c>
      <c r="I379" s="70" t="b">
        <v>0</v>
      </c>
      <c r="J379" s="70" t="b">
        <v>0</v>
      </c>
      <c r="K379" s="79" t="b">
        <v>0</v>
      </c>
      <c r="L379" s="70" t="b">
        <v>0</v>
      </c>
      <c r="M379" s="70" t="b">
        <v>0</v>
      </c>
      <c r="N379" s="1"/>
    </row>
    <row r="380" spans="1:14" ht="22.5" customHeight="1">
      <c r="A380" s="1"/>
      <c r="B380" s="1" t="e">
        <f t="array" aca="1" ref="B380" ca="1">_xludf.XLOOKUP(A380, 도서_정보[ID], 도서_정보[도서명], "")</f>
        <v>#NAME?</v>
      </c>
      <c r="C380" s="1" t="e">
        <f t="array" aca="1" ref="C380" ca="1">_xludf.XLOOKUP(A380, 도서_정보[ID], 도서_정보[작업 페이지], "")</f>
        <v>#NAME?</v>
      </c>
      <c r="D380" s="70" t="b">
        <v>0</v>
      </c>
      <c r="E380" s="70" t="b">
        <v>0</v>
      </c>
      <c r="F380" s="79" t="b">
        <v>0</v>
      </c>
      <c r="G380" s="70" t="b">
        <v>0</v>
      </c>
      <c r="H380" s="70" t="b">
        <v>0</v>
      </c>
      <c r="I380" s="70" t="b">
        <v>0</v>
      </c>
      <c r="J380" s="70" t="b">
        <v>0</v>
      </c>
      <c r="K380" s="79" t="b">
        <v>0</v>
      </c>
      <c r="L380" s="70" t="b">
        <v>0</v>
      </c>
      <c r="M380" s="70" t="b">
        <v>0</v>
      </c>
      <c r="N380" s="1"/>
    </row>
    <row r="381" spans="1:14" ht="22.5" customHeight="1">
      <c r="A381" s="1"/>
      <c r="B381" s="1" t="e">
        <f t="array" aca="1" ref="B381" ca="1">_xludf.XLOOKUP(A381, 도서_정보[ID], 도서_정보[도서명], "")</f>
        <v>#NAME?</v>
      </c>
      <c r="C381" s="1" t="e">
        <f t="array" aca="1" ref="C381" ca="1">_xludf.XLOOKUP(A381, 도서_정보[ID], 도서_정보[작업 페이지], "")</f>
        <v>#NAME?</v>
      </c>
      <c r="D381" s="70" t="b">
        <v>0</v>
      </c>
      <c r="E381" s="70" t="b">
        <v>0</v>
      </c>
      <c r="F381" s="79" t="b">
        <v>0</v>
      </c>
      <c r="G381" s="70" t="b">
        <v>0</v>
      </c>
      <c r="H381" s="70" t="b">
        <v>0</v>
      </c>
      <c r="I381" s="70" t="b">
        <v>0</v>
      </c>
      <c r="J381" s="70" t="b">
        <v>0</v>
      </c>
      <c r="K381" s="79" t="b">
        <v>0</v>
      </c>
      <c r="L381" s="70" t="b">
        <v>0</v>
      </c>
      <c r="M381" s="70" t="b">
        <v>0</v>
      </c>
      <c r="N381" s="1"/>
    </row>
    <row r="382" spans="1:14" ht="22.5" customHeight="1">
      <c r="A382" s="1"/>
      <c r="B382" s="1" t="e">
        <f t="array" aca="1" ref="B382" ca="1">_xludf.XLOOKUP(A382, 도서_정보[ID], 도서_정보[도서명], "")</f>
        <v>#NAME?</v>
      </c>
      <c r="C382" s="1" t="e">
        <f t="array" aca="1" ref="C382" ca="1">_xludf.XLOOKUP(A382, 도서_정보[ID], 도서_정보[작업 페이지], "")</f>
        <v>#NAME?</v>
      </c>
      <c r="D382" s="70" t="b">
        <v>0</v>
      </c>
      <c r="E382" s="70" t="b">
        <v>0</v>
      </c>
      <c r="F382" s="79" t="b">
        <v>0</v>
      </c>
      <c r="G382" s="70" t="b">
        <v>0</v>
      </c>
      <c r="H382" s="70" t="b">
        <v>0</v>
      </c>
      <c r="I382" s="70" t="b">
        <v>0</v>
      </c>
      <c r="J382" s="70" t="b">
        <v>0</v>
      </c>
      <c r="K382" s="79" t="b">
        <v>0</v>
      </c>
      <c r="L382" s="70" t="b">
        <v>0</v>
      </c>
      <c r="M382" s="70" t="b">
        <v>0</v>
      </c>
      <c r="N382" s="1"/>
    </row>
    <row r="383" spans="1:14" ht="22.5" customHeight="1">
      <c r="A383" s="1"/>
      <c r="B383" s="1" t="e">
        <f t="array" aca="1" ref="B383" ca="1">_xludf.XLOOKUP(A383, 도서_정보[ID], 도서_정보[도서명], "")</f>
        <v>#NAME?</v>
      </c>
      <c r="C383" s="1" t="e">
        <f t="array" aca="1" ref="C383" ca="1">_xludf.XLOOKUP(A383, 도서_정보[ID], 도서_정보[작업 페이지], "")</f>
        <v>#NAME?</v>
      </c>
      <c r="D383" s="70" t="b">
        <v>0</v>
      </c>
      <c r="E383" s="70" t="b">
        <v>0</v>
      </c>
      <c r="F383" s="79" t="b">
        <v>0</v>
      </c>
      <c r="G383" s="70" t="b">
        <v>0</v>
      </c>
      <c r="H383" s="70" t="b">
        <v>0</v>
      </c>
      <c r="I383" s="70" t="b">
        <v>0</v>
      </c>
      <c r="J383" s="70" t="b">
        <v>0</v>
      </c>
      <c r="K383" s="79" t="b">
        <v>0</v>
      </c>
      <c r="L383" s="70" t="b">
        <v>0</v>
      </c>
      <c r="M383" s="70" t="b">
        <v>0</v>
      </c>
      <c r="N383" s="1"/>
    </row>
    <row r="384" spans="1:14" ht="22.5" customHeight="1">
      <c r="A384" s="1"/>
      <c r="B384" s="1" t="e">
        <f t="array" aca="1" ref="B384" ca="1">_xludf.XLOOKUP(A384, 도서_정보[ID], 도서_정보[도서명], "")</f>
        <v>#NAME?</v>
      </c>
      <c r="C384" s="1" t="e">
        <f t="array" aca="1" ref="C384" ca="1">_xludf.XLOOKUP(A384, 도서_정보[ID], 도서_정보[작업 페이지], "")</f>
        <v>#NAME?</v>
      </c>
      <c r="D384" s="70" t="b">
        <v>0</v>
      </c>
      <c r="E384" s="70" t="b">
        <v>0</v>
      </c>
      <c r="F384" s="79" t="b">
        <v>0</v>
      </c>
      <c r="G384" s="70" t="b">
        <v>0</v>
      </c>
      <c r="H384" s="70" t="b">
        <v>0</v>
      </c>
      <c r="I384" s="70" t="b">
        <v>0</v>
      </c>
      <c r="J384" s="70" t="b">
        <v>0</v>
      </c>
      <c r="K384" s="79" t="b">
        <v>0</v>
      </c>
      <c r="L384" s="70" t="b">
        <v>0</v>
      </c>
      <c r="M384" s="70" t="b">
        <v>0</v>
      </c>
      <c r="N384" s="1"/>
    </row>
    <row r="385" spans="1:14" ht="22.5" customHeight="1">
      <c r="A385" s="1"/>
      <c r="B385" s="1" t="e">
        <f t="array" aca="1" ref="B385" ca="1">_xludf.XLOOKUP(A385, 도서_정보[ID], 도서_정보[도서명], "")</f>
        <v>#NAME?</v>
      </c>
      <c r="C385" s="1" t="e">
        <f t="array" aca="1" ref="C385" ca="1">_xludf.XLOOKUP(A385, 도서_정보[ID], 도서_정보[작업 페이지], "")</f>
        <v>#NAME?</v>
      </c>
      <c r="D385" s="70" t="b">
        <v>0</v>
      </c>
      <c r="E385" s="70" t="b">
        <v>0</v>
      </c>
      <c r="F385" s="79" t="b">
        <v>0</v>
      </c>
      <c r="G385" s="70" t="b">
        <v>0</v>
      </c>
      <c r="H385" s="70" t="b">
        <v>0</v>
      </c>
      <c r="I385" s="70" t="b">
        <v>0</v>
      </c>
      <c r="J385" s="70" t="b">
        <v>0</v>
      </c>
      <c r="K385" s="79" t="b">
        <v>0</v>
      </c>
      <c r="L385" s="70" t="b">
        <v>0</v>
      </c>
      <c r="M385" s="70" t="b">
        <v>0</v>
      </c>
      <c r="N385" s="1"/>
    </row>
    <row r="386" spans="1:14" ht="22.5" customHeight="1">
      <c r="A386" s="1"/>
      <c r="B386" s="1" t="e">
        <f t="array" aca="1" ref="B386" ca="1">_xludf.XLOOKUP(A386, 도서_정보[ID], 도서_정보[도서명], "")</f>
        <v>#NAME?</v>
      </c>
      <c r="C386" s="1" t="e">
        <f t="array" aca="1" ref="C386" ca="1">_xludf.XLOOKUP(A386, 도서_정보[ID], 도서_정보[작업 페이지], "")</f>
        <v>#NAME?</v>
      </c>
      <c r="D386" s="70" t="b">
        <v>0</v>
      </c>
      <c r="E386" s="70" t="b">
        <v>0</v>
      </c>
      <c r="F386" s="79" t="b">
        <v>0</v>
      </c>
      <c r="G386" s="70" t="b">
        <v>0</v>
      </c>
      <c r="H386" s="70" t="b">
        <v>0</v>
      </c>
      <c r="I386" s="70" t="b">
        <v>0</v>
      </c>
      <c r="J386" s="70" t="b">
        <v>0</v>
      </c>
      <c r="K386" s="79" t="b">
        <v>0</v>
      </c>
      <c r="L386" s="70" t="b">
        <v>0</v>
      </c>
      <c r="M386" s="70" t="b">
        <v>0</v>
      </c>
      <c r="N386" s="1"/>
    </row>
    <row r="387" spans="1:14" ht="22.5" customHeight="1">
      <c r="A387" s="1"/>
      <c r="B387" s="1" t="e">
        <f t="array" aca="1" ref="B387" ca="1">_xludf.XLOOKUP(A387, 도서_정보[ID], 도서_정보[도서명], "")</f>
        <v>#NAME?</v>
      </c>
      <c r="C387" s="1" t="e">
        <f t="array" aca="1" ref="C387" ca="1">_xludf.XLOOKUP(A387, 도서_정보[ID], 도서_정보[작업 페이지], "")</f>
        <v>#NAME?</v>
      </c>
      <c r="D387" s="70" t="b">
        <v>0</v>
      </c>
      <c r="E387" s="70" t="b">
        <v>0</v>
      </c>
      <c r="F387" s="79" t="b">
        <v>0</v>
      </c>
      <c r="G387" s="70" t="b">
        <v>0</v>
      </c>
      <c r="H387" s="70" t="b">
        <v>0</v>
      </c>
      <c r="I387" s="70" t="b">
        <v>0</v>
      </c>
      <c r="J387" s="70" t="b">
        <v>0</v>
      </c>
      <c r="K387" s="79" t="b">
        <v>0</v>
      </c>
      <c r="L387" s="70" t="b">
        <v>0</v>
      </c>
      <c r="M387" s="70" t="b">
        <v>0</v>
      </c>
      <c r="N387" s="1"/>
    </row>
    <row r="388" spans="1:14" ht="22.5" customHeight="1">
      <c r="A388" s="1"/>
      <c r="B388" s="1" t="e">
        <f t="array" aca="1" ref="B388" ca="1">_xludf.XLOOKUP(A388, 도서_정보[ID], 도서_정보[도서명], "")</f>
        <v>#NAME?</v>
      </c>
      <c r="C388" s="1" t="e">
        <f t="array" aca="1" ref="C388" ca="1">_xludf.XLOOKUP(A388, 도서_정보[ID], 도서_정보[작업 페이지], "")</f>
        <v>#NAME?</v>
      </c>
      <c r="D388" s="70" t="b">
        <v>0</v>
      </c>
      <c r="E388" s="70" t="b">
        <v>0</v>
      </c>
      <c r="F388" s="79" t="b">
        <v>0</v>
      </c>
      <c r="G388" s="70" t="b">
        <v>0</v>
      </c>
      <c r="H388" s="70" t="b">
        <v>0</v>
      </c>
      <c r="I388" s="70" t="b">
        <v>0</v>
      </c>
      <c r="J388" s="70" t="b">
        <v>0</v>
      </c>
      <c r="K388" s="79" t="b">
        <v>0</v>
      </c>
      <c r="L388" s="70" t="b">
        <v>0</v>
      </c>
      <c r="M388" s="70" t="b">
        <v>0</v>
      </c>
      <c r="N388" s="1"/>
    </row>
    <row r="389" spans="1:14" ht="22.5" customHeight="1">
      <c r="A389" s="1"/>
      <c r="B389" s="1" t="e">
        <f t="array" aca="1" ref="B389" ca="1">_xludf.XLOOKUP(A389, 도서_정보[ID], 도서_정보[도서명], "")</f>
        <v>#NAME?</v>
      </c>
      <c r="C389" s="1" t="e">
        <f t="array" aca="1" ref="C389" ca="1">_xludf.XLOOKUP(A389, 도서_정보[ID], 도서_정보[작업 페이지], "")</f>
        <v>#NAME?</v>
      </c>
      <c r="D389" s="70" t="b">
        <v>0</v>
      </c>
      <c r="E389" s="70" t="b">
        <v>0</v>
      </c>
      <c r="F389" s="79" t="b">
        <v>0</v>
      </c>
      <c r="G389" s="70" t="b">
        <v>0</v>
      </c>
      <c r="H389" s="70" t="b">
        <v>0</v>
      </c>
      <c r="I389" s="70" t="b">
        <v>0</v>
      </c>
      <c r="J389" s="70" t="b">
        <v>0</v>
      </c>
      <c r="K389" s="79" t="b">
        <v>0</v>
      </c>
      <c r="L389" s="70" t="b">
        <v>0</v>
      </c>
      <c r="M389" s="70" t="b">
        <v>0</v>
      </c>
      <c r="N389" s="1"/>
    </row>
    <row r="390" spans="1:14" ht="22.5" customHeight="1">
      <c r="A390" s="1"/>
      <c r="B390" s="1" t="e">
        <f t="array" aca="1" ref="B390" ca="1">_xludf.XLOOKUP(A390, 도서_정보[ID], 도서_정보[도서명], "")</f>
        <v>#NAME?</v>
      </c>
      <c r="C390" s="1" t="e">
        <f t="array" aca="1" ref="C390" ca="1">_xludf.XLOOKUP(A390, 도서_정보[ID], 도서_정보[작업 페이지], "")</f>
        <v>#NAME?</v>
      </c>
      <c r="D390" s="70" t="b">
        <v>0</v>
      </c>
      <c r="E390" s="70" t="b">
        <v>0</v>
      </c>
      <c r="F390" s="79" t="b">
        <v>0</v>
      </c>
      <c r="G390" s="70" t="b">
        <v>0</v>
      </c>
      <c r="H390" s="70" t="b">
        <v>0</v>
      </c>
      <c r="I390" s="70" t="b">
        <v>0</v>
      </c>
      <c r="J390" s="70" t="b">
        <v>0</v>
      </c>
      <c r="K390" s="79" t="b">
        <v>0</v>
      </c>
      <c r="L390" s="70" t="b">
        <v>0</v>
      </c>
      <c r="M390" s="70" t="b">
        <v>0</v>
      </c>
      <c r="N390" s="1"/>
    </row>
    <row r="391" spans="1:14" ht="22.5" customHeight="1">
      <c r="A391" s="1"/>
      <c r="B391" s="1" t="e">
        <f t="array" aca="1" ref="B391" ca="1">_xludf.XLOOKUP(A391, 도서_정보[ID], 도서_정보[도서명], "")</f>
        <v>#NAME?</v>
      </c>
      <c r="C391" s="1" t="e">
        <f t="array" aca="1" ref="C391" ca="1">_xludf.XLOOKUP(A391, 도서_정보[ID], 도서_정보[작업 페이지], "")</f>
        <v>#NAME?</v>
      </c>
      <c r="D391" s="70" t="b">
        <v>0</v>
      </c>
      <c r="E391" s="70" t="b">
        <v>0</v>
      </c>
      <c r="F391" s="79" t="b">
        <v>0</v>
      </c>
      <c r="G391" s="70" t="b">
        <v>0</v>
      </c>
      <c r="H391" s="70" t="b">
        <v>0</v>
      </c>
      <c r="I391" s="70" t="b">
        <v>0</v>
      </c>
      <c r="J391" s="70" t="b">
        <v>0</v>
      </c>
      <c r="K391" s="79" t="b">
        <v>0</v>
      </c>
      <c r="L391" s="70" t="b">
        <v>0</v>
      </c>
      <c r="M391" s="70" t="b">
        <v>0</v>
      </c>
      <c r="N391" s="1"/>
    </row>
    <row r="392" spans="1:14" ht="22.5" customHeight="1">
      <c r="A392" s="1"/>
      <c r="B392" s="1" t="e">
        <f t="array" aca="1" ref="B392" ca="1">_xludf.XLOOKUP(A392, 도서_정보[ID], 도서_정보[도서명], "")</f>
        <v>#NAME?</v>
      </c>
      <c r="C392" s="1" t="e">
        <f t="array" aca="1" ref="C392" ca="1">_xludf.XLOOKUP(A392, 도서_정보[ID], 도서_정보[작업 페이지], "")</f>
        <v>#NAME?</v>
      </c>
      <c r="D392" s="70" t="b">
        <v>0</v>
      </c>
      <c r="E392" s="70" t="b">
        <v>0</v>
      </c>
      <c r="F392" s="79" t="b">
        <v>0</v>
      </c>
      <c r="G392" s="70" t="b">
        <v>0</v>
      </c>
      <c r="H392" s="70" t="b">
        <v>0</v>
      </c>
      <c r="I392" s="70" t="b">
        <v>0</v>
      </c>
      <c r="J392" s="70" t="b">
        <v>0</v>
      </c>
      <c r="K392" s="79" t="b">
        <v>0</v>
      </c>
      <c r="L392" s="70" t="b">
        <v>0</v>
      </c>
      <c r="M392" s="70" t="b">
        <v>0</v>
      </c>
      <c r="N392" s="1"/>
    </row>
    <row r="393" spans="1:14" ht="22.5" customHeight="1">
      <c r="A393" s="1"/>
      <c r="B393" s="1" t="e">
        <f t="array" aca="1" ref="B393" ca="1">_xludf.XLOOKUP(A393, 도서_정보[ID], 도서_정보[도서명], "")</f>
        <v>#NAME?</v>
      </c>
      <c r="C393" s="1" t="e">
        <f t="array" aca="1" ref="C393" ca="1">_xludf.XLOOKUP(A393, 도서_정보[ID], 도서_정보[작업 페이지], "")</f>
        <v>#NAME?</v>
      </c>
      <c r="D393" s="70" t="b">
        <v>0</v>
      </c>
      <c r="E393" s="70" t="b">
        <v>0</v>
      </c>
      <c r="F393" s="79" t="b">
        <v>0</v>
      </c>
      <c r="G393" s="70" t="b">
        <v>0</v>
      </c>
      <c r="H393" s="70" t="b">
        <v>0</v>
      </c>
      <c r="I393" s="70" t="b">
        <v>0</v>
      </c>
      <c r="J393" s="70" t="b">
        <v>0</v>
      </c>
      <c r="K393" s="79" t="b">
        <v>0</v>
      </c>
      <c r="L393" s="70" t="b">
        <v>0</v>
      </c>
      <c r="M393" s="70" t="b">
        <v>0</v>
      </c>
      <c r="N393" s="1"/>
    </row>
    <row r="394" spans="1:14" ht="22.5" customHeight="1">
      <c r="A394" s="1"/>
      <c r="B394" s="1" t="e">
        <f t="array" aca="1" ref="B394" ca="1">_xludf.XLOOKUP(A394, 도서_정보[ID], 도서_정보[도서명], "")</f>
        <v>#NAME?</v>
      </c>
      <c r="C394" s="1" t="e">
        <f t="array" aca="1" ref="C394" ca="1">_xludf.XLOOKUP(A394, 도서_정보[ID], 도서_정보[작업 페이지], "")</f>
        <v>#NAME?</v>
      </c>
      <c r="D394" s="70" t="b">
        <v>0</v>
      </c>
      <c r="E394" s="70" t="b">
        <v>0</v>
      </c>
      <c r="F394" s="79" t="b">
        <v>0</v>
      </c>
      <c r="G394" s="70" t="b">
        <v>0</v>
      </c>
      <c r="H394" s="70" t="b">
        <v>0</v>
      </c>
      <c r="I394" s="70" t="b">
        <v>0</v>
      </c>
      <c r="J394" s="70" t="b">
        <v>0</v>
      </c>
      <c r="K394" s="79" t="b">
        <v>0</v>
      </c>
      <c r="L394" s="70" t="b">
        <v>0</v>
      </c>
      <c r="M394" s="70" t="b">
        <v>0</v>
      </c>
      <c r="N394" s="1"/>
    </row>
    <row r="395" spans="1:14" ht="22.5" customHeight="1">
      <c r="A395" s="1"/>
      <c r="B395" s="1" t="e">
        <f t="array" aca="1" ref="B395" ca="1">_xludf.XLOOKUP(A395, 도서_정보[ID], 도서_정보[도서명], "")</f>
        <v>#NAME?</v>
      </c>
      <c r="C395" s="1" t="e">
        <f t="array" aca="1" ref="C395" ca="1">_xludf.XLOOKUP(A395, 도서_정보[ID], 도서_정보[작업 페이지], "")</f>
        <v>#NAME?</v>
      </c>
      <c r="D395" s="70" t="b">
        <v>0</v>
      </c>
      <c r="E395" s="70" t="b">
        <v>0</v>
      </c>
      <c r="F395" s="79" t="b">
        <v>0</v>
      </c>
      <c r="G395" s="70" t="b">
        <v>0</v>
      </c>
      <c r="H395" s="70" t="b">
        <v>0</v>
      </c>
      <c r="I395" s="70" t="b">
        <v>0</v>
      </c>
      <c r="J395" s="70" t="b">
        <v>0</v>
      </c>
      <c r="K395" s="79" t="b">
        <v>0</v>
      </c>
      <c r="L395" s="70" t="b">
        <v>0</v>
      </c>
      <c r="M395" s="70" t="b">
        <v>0</v>
      </c>
      <c r="N395" s="1"/>
    </row>
    <row r="396" spans="1:14" ht="22.5" customHeight="1">
      <c r="A396" s="1"/>
      <c r="B396" s="1" t="e">
        <f t="array" aca="1" ref="B396" ca="1">_xludf.XLOOKUP(A396, 도서_정보[ID], 도서_정보[도서명], "")</f>
        <v>#NAME?</v>
      </c>
      <c r="C396" s="1" t="e">
        <f t="array" aca="1" ref="C396" ca="1">_xludf.XLOOKUP(A396, 도서_정보[ID], 도서_정보[작업 페이지], "")</f>
        <v>#NAME?</v>
      </c>
      <c r="D396" s="70" t="b">
        <v>0</v>
      </c>
      <c r="E396" s="70" t="b">
        <v>0</v>
      </c>
      <c r="F396" s="79" t="b">
        <v>0</v>
      </c>
      <c r="G396" s="70" t="b">
        <v>0</v>
      </c>
      <c r="H396" s="70" t="b">
        <v>0</v>
      </c>
      <c r="I396" s="70" t="b">
        <v>0</v>
      </c>
      <c r="J396" s="70" t="b">
        <v>0</v>
      </c>
      <c r="K396" s="79" t="b">
        <v>0</v>
      </c>
      <c r="L396" s="70" t="b">
        <v>0</v>
      </c>
      <c r="M396" s="70" t="b">
        <v>0</v>
      </c>
      <c r="N396" s="1"/>
    </row>
    <row r="397" spans="1:14" ht="22.5" customHeight="1">
      <c r="A397" s="1"/>
      <c r="B397" s="1" t="e">
        <f t="array" aca="1" ref="B397" ca="1">_xludf.XLOOKUP(A397, 도서_정보[ID], 도서_정보[도서명], "")</f>
        <v>#NAME?</v>
      </c>
      <c r="C397" s="1" t="e">
        <f t="array" aca="1" ref="C397" ca="1">_xludf.XLOOKUP(A397, 도서_정보[ID], 도서_정보[작업 페이지], "")</f>
        <v>#NAME?</v>
      </c>
      <c r="D397" s="70" t="b">
        <v>0</v>
      </c>
      <c r="E397" s="70" t="b">
        <v>0</v>
      </c>
      <c r="F397" s="79" t="b">
        <v>0</v>
      </c>
      <c r="G397" s="70" t="b">
        <v>0</v>
      </c>
      <c r="H397" s="70" t="b">
        <v>0</v>
      </c>
      <c r="I397" s="70" t="b">
        <v>0</v>
      </c>
      <c r="J397" s="70" t="b">
        <v>0</v>
      </c>
      <c r="K397" s="79" t="b">
        <v>0</v>
      </c>
      <c r="L397" s="70" t="b">
        <v>0</v>
      </c>
      <c r="M397" s="70" t="b">
        <v>0</v>
      </c>
      <c r="N397" s="1"/>
    </row>
    <row r="398" spans="1:14" ht="22.5" customHeight="1">
      <c r="A398" s="1"/>
      <c r="B398" s="1" t="e">
        <f t="array" aca="1" ref="B398" ca="1">_xludf.XLOOKUP(A398, 도서_정보[ID], 도서_정보[도서명], "")</f>
        <v>#NAME?</v>
      </c>
      <c r="C398" s="1" t="e">
        <f t="array" aca="1" ref="C398" ca="1">_xludf.XLOOKUP(A398, 도서_정보[ID], 도서_정보[작업 페이지], "")</f>
        <v>#NAME?</v>
      </c>
      <c r="D398" s="70" t="b">
        <v>0</v>
      </c>
      <c r="E398" s="70" t="b">
        <v>0</v>
      </c>
      <c r="F398" s="79" t="b">
        <v>0</v>
      </c>
      <c r="G398" s="70" t="b">
        <v>0</v>
      </c>
      <c r="H398" s="70" t="b">
        <v>0</v>
      </c>
      <c r="I398" s="70" t="b">
        <v>0</v>
      </c>
      <c r="J398" s="70" t="b">
        <v>0</v>
      </c>
      <c r="K398" s="79" t="b">
        <v>0</v>
      </c>
      <c r="L398" s="70" t="b">
        <v>0</v>
      </c>
      <c r="M398" s="70" t="b">
        <v>0</v>
      </c>
      <c r="N398" s="1"/>
    </row>
    <row r="399" spans="1:14" ht="22.5" customHeight="1">
      <c r="A399" s="1"/>
      <c r="B399" s="1" t="e">
        <f t="array" aca="1" ref="B399" ca="1">_xludf.XLOOKUP(A399, 도서_정보[ID], 도서_정보[도서명], "")</f>
        <v>#NAME?</v>
      </c>
      <c r="C399" s="1" t="e">
        <f t="array" aca="1" ref="C399" ca="1">_xludf.XLOOKUP(A399, 도서_정보[ID], 도서_정보[작업 페이지], "")</f>
        <v>#NAME?</v>
      </c>
      <c r="D399" s="70" t="b">
        <v>0</v>
      </c>
      <c r="E399" s="70" t="b">
        <v>0</v>
      </c>
      <c r="F399" s="79" t="b">
        <v>0</v>
      </c>
      <c r="G399" s="70" t="b">
        <v>0</v>
      </c>
      <c r="H399" s="70" t="b">
        <v>0</v>
      </c>
      <c r="I399" s="70" t="b">
        <v>0</v>
      </c>
      <c r="J399" s="70" t="b">
        <v>0</v>
      </c>
      <c r="K399" s="79" t="b">
        <v>0</v>
      </c>
      <c r="L399" s="70" t="b">
        <v>0</v>
      </c>
      <c r="M399" s="70" t="b">
        <v>0</v>
      </c>
      <c r="N399" s="1"/>
    </row>
    <row r="400" spans="1:14" ht="22.5" customHeight="1">
      <c r="A400" s="1"/>
      <c r="B400" s="1" t="e">
        <f t="array" aca="1" ref="B400" ca="1">_xludf.XLOOKUP(A400, 도서_정보[ID], 도서_정보[도서명], "")</f>
        <v>#NAME?</v>
      </c>
      <c r="C400" s="1" t="e">
        <f t="array" aca="1" ref="C400" ca="1">_xludf.XLOOKUP(A400, 도서_정보[ID], 도서_정보[작업 페이지], "")</f>
        <v>#NAME?</v>
      </c>
      <c r="D400" s="70" t="b">
        <v>0</v>
      </c>
      <c r="E400" s="70" t="b">
        <v>0</v>
      </c>
      <c r="F400" s="79" t="b">
        <v>0</v>
      </c>
      <c r="G400" s="70" t="b">
        <v>0</v>
      </c>
      <c r="H400" s="70" t="b">
        <v>0</v>
      </c>
      <c r="I400" s="70" t="b">
        <v>0</v>
      </c>
      <c r="J400" s="70" t="b">
        <v>0</v>
      </c>
      <c r="K400" s="79" t="b">
        <v>0</v>
      </c>
      <c r="L400" s="70" t="b">
        <v>0</v>
      </c>
      <c r="M400" s="70" t="b">
        <v>0</v>
      </c>
      <c r="N400" s="1"/>
    </row>
    <row r="401" spans="1:14" ht="22.5" customHeight="1">
      <c r="A401" s="1"/>
      <c r="B401" s="1" t="e">
        <f t="array" aca="1" ref="B401" ca="1">_xludf.XLOOKUP(A401, 도서_정보[ID], 도서_정보[도서명], "")</f>
        <v>#NAME?</v>
      </c>
      <c r="C401" s="1" t="e">
        <f t="array" aca="1" ref="C401" ca="1">_xludf.XLOOKUP(A401, 도서_정보[ID], 도서_정보[작업 페이지], "")</f>
        <v>#NAME?</v>
      </c>
      <c r="D401" s="70" t="b">
        <v>0</v>
      </c>
      <c r="E401" s="70" t="b">
        <v>0</v>
      </c>
      <c r="F401" s="79" t="b">
        <v>0</v>
      </c>
      <c r="G401" s="70" t="b">
        <v>0</v>
      </c>
      <c r="H401" s="70" t="b">
        <v>0</v>
      </c>
      <c r="I401" s="70" t="b">
        <v>0</v>
      </c>
      <c r="J401" s="70" t="b">
        <v>0</v>
      </c>
      <c r="K401" s="79" t="b">
        <v>0</v>
      </c>
      <c r="L401" s="70" t="b">
        <v>0</v>
      </c>
      <c r="M401" s="70" t="b">
        <v>0</v>
      </c>
      <c r="N401" s="1"/>
    </row>
    <row r="402" spans="1:14" ht="22.5" customHeight="1">
      <c r="A402" s="1"/>
      <c r="B402" s="1" t="e">
        <f t="array" aca="1" ref="B402" ca="1">_xludf.XLOOKUP(A402, 도서_정보[ID], 도서_정보[도서명], "")</f>
        <v>#NAME?</v>
      </c>
      <c r="C402" s="1" t="e">
        <f t="array" aca="1" ref="C402" ca="1">_xludf.XLOOKUP(A402, 도서_정보[ID], 도서_정보[작업 페이지], "")</f>
        <v>#NAME?</v>
      </c>
      <c r="D402" s="70" t="b">
        <v>0</v>
      </c>
      <c r="E402" s="70" t="b">
        <v>0</v>
      </c>
      <c r="F402" s="79" t="b">
        <v>0</v>
      </c>
      <c r="G402" s="70" t="b">
        <v>0</v>
      </c>
      <c r="H402" s="70" t="b">
        <v>0</v>
      </c>
      <c r="I402" s="70" t="b">
        <v>0</v>
      </c>
      <c r="J402" s="70" t="b">
        <v>0</v>
      </c>
      <c r="K402" s="79" t="b">
        <v>0</v>
      </c>
      <c r="L402" s="70" t="b">
        <v>0</v>
      </c>
      <c r="M402" s="70" t="b">
        <v>0</v>
      </c>
      <c r="N402" s="1"/>
    </row>
    <row r="403" spans="1:14" ht="22.5" customHeight="1">
      <c r="A403" s="1"/>
      <c r="B403" s="1" t="e">
        <f t="array" aca="1" ref="B403" ca="1">_xludf.XLOOKUP(A403, 도서_정보[ID], 도서_정보[도서명], "")</f>
        <v>#NAME?</v>
      </c>
      <c r="C403" s="1" t="e">
        <f t="array" aca="1" ref="C403" ca="1">_xludf.XLOOKUP(A403, 도서_정보[ID], 도서_정보[작업 페이지], "")</f>
        <v>#NAME?</v>
      </c>
      <c r="D403" s="70" t="b">
        <v>0</v>
      </c>
      <c r="E403" s="70" t="b">
        <v>0</v>
      </c>
      <c r="F403" s="79" t="b">
        <v>0</v>
      </c>
      <c r="G403" s="70" t="b">
        <v>0</v>
      </c>
      <c r="H403" s="70" t="b">
        <v>0</v>
      </c>
      <c r="I403" s="70" t="b">
        <v>0</v>
      </c>
      <c r="J403" s="70" t="b">
        <v>0</v>
      </c>
      <c r="K403" s="79" t="b">
        <v>0</v>
      </c>
      <c r="L403" s="70" t="b">
        <v>0</v>
      </c>
      <c r="M403" s="70" t="b">
        <v>0</v>
      </c>
      <c r="N403" s="1"/>
    </row>
    <row r="404" spans="1:14" ht="22.5" customHeight="1">
      <c r="A404" s="1"/>
      <c r="B404" s="1" t="e">
        <f t="array" aca="1" ref="B404" ca="1">_xludf.XLOOKUP(A404, 도서_정보[ID], 도서_정보[도서명], "")</f>
        <v>#NAME?</v>
      </c>
      <c r="C404" s="1" t="e">
        <f t="array" aca="1" ref="C404" ca="1">_xludf.XLOOKUP(A404, 도서_정보[ID], 도서_정보[작업 페이지], "")</f>
        <v>#NAME?</v>
      </c>
      <c r="D404" s="70" t="b">
        <v>0</v>
      </c>
      <c r="E404" s="70" t="b">
        <v>0</v>
      </c>
      <c r="F404" s="79" t="b">
        <v>0</v>
      </c>
      <c r="G404" s="70" t="b">
        <v>0</v>
      </c>
      <c r="H404" s="70" t="b">
        <v>0</v>
      </c>
      <c r="I404" s="70" t="b">
        <v>0</v>
      </c>
      <c r="J404" s="70" t="b">
        <v>0</v>
      </c>
      <c r="K404" s="79" t="b">
        <v>0</v>
      </c>
      <c r="L404" s="70" t="b">
        <v>0</v>
      </c>
      <c r="M404" s="70" t="b">
        <v>0</v>
      </c>
      <c r="N404" s="1"/>
    </row>
    <row r="405" spans="1:14" ht="22.5" customHeight="1">
      <c r="A405" s="1"/>
      <c r="B405" s="1" t="e">
        <f t="array" aca="1" ref="B405" ca="1">_xludf.XLOOKUP(A405, 도서_정보[ID], 도서_정보[도서명], "")</f>
        <v>#NAME?</v>
      </c>
      <c r="C405" s="1" t="e">
        <f t="array" aca="1" ref="C405" ca="1">_xludf.XLOOKUP(A405, 도서_정보[ID], 도서_정보[작업 페이지], "")</f>
        <v>#NAME?</v>
      </c>
      <c r="D405" s="70" t="b">
        <v>0</v>
      </c>
      <c r="E405" s="70" t="b">
        <v>0</v>
      </c>
      <c r="F405" s="79" t="b">
        <v>0</v>
      </c>
      <c r="G405" s="70" t="b">
        <v>0</v>
      </c>
      <c r="H405" s="70" t="b">
        <v>0</v>
      </c>
      <c r="I405" s="70" t="b">
        <v>0</v>
      </c>
      <c r="J405" s="70" t="b">
        <v>0</v>
      </c>
      <c r="K405" s="79" t="b">
        <v>0</v>
      </c>
      <c r="L405" s="70" t="b">
        <v>0</v>
      </c>
      <c r="M405" s="70" t="b">
        <v>0</v>
      </c>
      <c r="N405" s="1"/>
    </row>
    <row r="406" spans="1:14" ht="22.5" customHeight="1">
      <c r="A406" s="1"/>
      <c r="B406" s="1" t="e">
        <f t="array" aca="1" ref="B406" ca="1">_xludf.XLOOKUP(A406, 도서_정보[ID], 도서_정보[도서명], "")</f>
        <v>#NAME?</v>
      </c>
      <c r="C406" s="1" t="e">
        <f t="array" aca="1" ref="C406" ca="1">_xludf.XLOOKUP(A406, 도서_정보[ID], 도서_정보[작업 페이지], "")</f>
        <v>#NAME?</v>
      </c>
      <c r="D406" s="70" t="b">
        <v>0</v>
      </c>
      <c r="E406" s="70" t="b">
        <v>0</v>
      </c>
      <c r="F406" s="79" t="b">
        <v>0</v>
      </c>
      <c r="G406" s="70" t="b">
        <v>0</v>
      </c>
      <c r="H406" s="70" t="b">
        <v>0</v>
      </c>
      <c r="I406" s="70" t="b">
        <v>0</v>
      </c>
      <c r="J406" s="70" t="b">
        <v>0</v>
      </c>
      <c r="K406" s="79" t="b">
        <v>0</v>
      </c>
      <c r="L406" s="70" t="b">
        <v>0</v>
      </c>
      <c r="M406" s="70" t="b">
        <v>0</v>
      </c>
      <c r="N406" s="1"/>
    </row>
    <row r="407" spans="1:14" ht="22.5" customHeight="1">
      <c r="A407" s="1"/>
      <c r="B407" s="1" t="e">
        <f t="array" aca="1" ref="B407" ca="1">_xludf.XLOOKUP(A407, 도서_정보[ID], 도서_정보[도서명], "")</f>
        <v>#NAME?</v>
      </c>
      <c r="C407" s="1" t="e">
        <f t="array" aca="1" ref="C407" ca="1">_xludf.XLOOKUP(A407, 도서_정보[ID], 도서_정보[작업 페이지], "")</f>
        <v>#NAME?</v>
      </c>
      <c r="D407" s="70" t="b">
        <v>0</v>
      </c>
      <c r="E407" s="70" t="b">
        <v>0</v>
      </c>
      <c r="F407" s="79" t="b">
        <v>0</v>
      </c>
      <c r="G407" s="70" t="b">
        <v>0</v>
      </c>
      <c r="H407" s="70" t="b">
        <v>0</v>
      </c>
      <c r="I407" s="70" t="b">
        <v>0</v>
      </c>
      <c r="J407" s="70" t="b">
        <v>0</v>
      </c>
      <c r="K407" s="79" t="b">
        <v>0</v>
      </c>
      <c r="L407" s="70" t="b">
        <v>0</v>
      </c>
      <c r="M407" s="70" t="b">
        <v>0</v>
      </c>
      <c r="N407" s="1"/>
    </row>
    <row r="408" spans="1:14" ht="22.5" customHeight="1">
      <c r="A408" s="1"/>
      <c r="B408" s="1" t="e">
        <f t="array" aca="1" ref="B408" ca="1">_xludf.XLOOKUP(A408, 도서_정보[ID], 도서_정보[도서명], "")</f>
        <v>#NAME?</v>
      </c>
      <c r="C408" s="1" t="e">
        <f t="array" aca="1" ref="C408" ca="1">_xludf.XLOOKUP(A408, 도서_정보[ID], 도서_정보[작업 페이지], "")</f>
        <v>#NAME?</v>
      </c>
      <c r="D408" s="70" t="b">
        <v>0</v>
      </c>
      <c r="E408" s="70" t="b">
        <v>0</v>
      </c>
      <c r="F408" s="79" t="b">
        <v>0</v>
      </c>
      <c r="G408" s="70" t="b">
        <v>0</v>
      </c>
      <c r="H408" s="70" t="b">
        <v>0</v>
      </c>
      <c r="I408" s="70" t="b">
        <v>0</v>
      </c>
      <c r="J408" s="70" t="b">
        <v>0</v>
      </c>
      <c r="K408" s="79" t="b">
        <v>0</v>
      </c>
      <c r="L408" s="70" t="b">
        <v>0</v>
      </c>
      <c r="M408" s="70" t="b">
        <v>0</v>
      </c>
      <c r="N408" s="1"/>
    </row>
    <row r="409" spans="1:14" ht="22.5" customHeight="1">
      <c r="A409" s="1"/>
      <c r="B409" s="1" t="e">
        <f t="array" aca="1" ref="B409" ca="1">_xludf.XLOOKUP(A409, 도서_정보[ID], 도서_정보[도서명], "")</f>
        <v>#NAME?</v>
      </c>
      <c r="C409" s="1" t="e">
        <f t="array" aca="1" ref="C409" ca="1">_xludf.XLOOKUP(A409, 도서_정보[ID], 도서_정보[작업 페이지], "")</f>
        <v>#NAME?</v>
      </c>
      <c r="D409" s="70" t="b">
        <v>0</v>
      </c>
      <c r="E409" s="70" t="b">
        <v>0</v>
      </c>
      <c r="F409" s="79" t="b">
        <v>0</v>
      </c>
      <c r="G409" s="70" t="b">
        <v>0</v>
      </c>
      <c r="H409" s="70" t="b">
        <v>0</v>
      </c>
      <c r="I409" s="70" t="b">
        <v>0</v>
      </c>
      <c r="J409" s="70" t="b">
        <v>0</v>
      </c>
      <c r="K409" s="79" t="b">
        <v>0</v>
      </c>
      <c r="L409" s="70" t="b">
        <v>0</v>
      </c>
      <c r="M409" s="70" t="b">
        <v>0</v>
      </c>
      <c r="N409" s="1"/>
    </row>
    <row r="410" spans="1:14" ht="22.5" customHeight="1">
      <c r="A410" s="1"/>
      <c r="B410" s="1" t="e">
        <f t="array" aca="1" ref="B410" ca="1">_xludf.XLOOKUP(A410, 도서_정보[ID], 도서_정보[도서명], "")</f>
        <v>#NAME?</v>
      </c>
      <c r="C410" s="1" t="e">
        <f t="array" aca="1" ref="C410" ca="1">_xludf.XLOOKUP(A410, 도서_정보[ID], 도서_정보[작업 페이지], "")</f>
        <v>#NAME?</v>
      </c>
      <c r="D410" s="70" t="b">
        <v>0</v>
      </c>
      <c r="E410" s="70" t="b">
        <v>0</v>
      </c>
      <c r="F410" s="79" t="b">
        <v>0</v>
      </c>
      <c r="G410" s="70" t="b">
        <v>0</v>
      </c>
      <c r="H410" s="70" t="b">
        <v>0</v>
      </c>
      <c r="I410" s="70" t="b">
        <v>0</v>
      </c>
      <c r="J410" s="70" t="b">
        <v>0</v>
      </c>
      <c r="K410" s="79" t="b">
        <v>0</v>
      </c>
      <c r="L410" s="70" t="b">
        <v>0</v>
      </c>
      <c r="M410" s="70" t="b">
        <v>0</v>
      </c>
      <c r="N410" s="1"/>
    </row>
    <row r="411" spans="1:14" ht="22.5" customHeight="1">
      <c r="A411" s="1"/>
      <c r="B411" s="1" t="e">
        <f t="array" aca="1" ref="B411" ca="1">_xludf.XLOOKUP(A411, 도서_정보[ID], 도서_정보[도서명], "")</f>
        <v>#NAME?</v>
      </c>
      <c r="C411" s="1" t="e">
        <f t="array" aca="1" ref="C411" ca="1">_xludf.XLOOKUP(A411, 도서_정보[ID], 도서_정보[작업 페이지], "")</f>
        <v>#NAME?</v>
      </c>
      <c r="D411" s="70" t="b">
        <v>0</v>
      </c>
      <c r="E411" s="70" t="b">
        <v>0</v>
      </c>
      <c r="F411" s="79" t="b">
        <v>0</v>
      </c>
      <c r="G411" s="70" t="b">
        <v>0</v>
      </c>
      <c r="H411" s="70" t="b">
        <v>0</v>
      </c>
      <c r="I411" s="70" t="b">
        <v>0</v>
      </c>
      <c r="J411" s="70" t="b">
        <v>0</v>
      </c>
      <c r="K411" s="79" t="b">
        <v>0</v>
      </c>
      <c r="L411" s="70" t="b">
        <v>0</v>
      </c>
      <c r="M411" s="70" t="b">
        <v>0</v>
      </c>
      <c r="N411" s="1"/>
    </row>
    <row r="412" spans="1:14" ht="22.5" customHeight="1">
      <c r="A412" s="1"/>
      <c r="B412" s="1" t="e">
        <f t="array" aca="1" ref="B412" ca="1">_xludf.XLOOKUP(A412, 도서_정보[ID], 도서_정보[도서명], "")</f>
        <v>#NAME?</v>
      </c>
      <c r="C412" s="1" t="e">
        <f t="array" aca="1" ref="C412" ca="1">_xludf.XLOOKUP(A412, 도서_정보[ID], 도서_정보[작업 페이지], "")</f>
        <v>#NAME?</v>
      </c>
      <c r="D412" s="70" t="b">
        <v>0</v>
      </c>
      <c r="E412" s="70" t="b">
        <v>0</v>
      </c>
      <c r="F412" s="79" t="b">
        <v>0</v>
      </c>
      <c r="G412" s="70" t="b">
        <v>0</v>
      </c>
      <c r="H412" s="70" t="b">
        <v>0</v>
      </c>
      <c r="I412" s="70" t="b">
        <v>0</v>
      </c>
      <c r="J412" s="70" t="b">
        <v>0</v>
      </c>
      <c r="K412" s="79" t="b">
        <v>0</v>
      </c>
      <c r="L412" s="70" t="b">
        <v>0</v>
      </c>
      <c r="M412" s="70" t="b">
        <v>0</v>
      </c>
      <c r="N412" s="1"/>
    </row>
    <row r="413" spans="1:14" ht="22.5" customHeight="1">
      <c r="A413" s="1"/>
      <c r="B413" s="1" t="e">
        <f t="array" aca="1" ref="B413" ca="1">_xludf.XLOOKUP(A413, 도서_정보[ID], 도서_정보[도서명], "")</f>
        <v>#NAME?</v>
      </c>
      <c r="C413" s="1" t="e">
        <f t="array" aca="1" ref="C413" ca="1">_xludf.XLOOKUP(A413, 도서_정보[ID], 도서_정보[작업 페이지], "")</f>
        <v>#NAME?</v>
      </c>
      <c r="D413" s="70" t="b">
        <v>0</v>
      </c>
      <c r="E413" s="70" t="b">
        <v>0</v>
      </c>
      <c r="F413" s="79" t="b">
        <v>0</v>
      </c>
      <c r="G413" s="70" t="b">
        <v>0</v>
      </c>
      <c r="H413" s="70" t="b">
        <v>0</v>
      </c>
      <c r="I413" s="70" t="b">
        <v>0</v>
      </c>
      <c r="J413" s="70" t="b">
        <v>0</v>
      </c>
      <c r="K413" s="79" t="b">
        <v>0</v>
      </c>
      <c r="L413" s="70" t="b">
        <v>0</v>
      </c>
      <c r="M413" s="70" t="b">
        <v>0</v>
      </c>
      <c r="N413" s="1"/>
    </row>
    <row r="414" spans="1:14" ht="22.5" customHeight="1">
      <c r="A414" s="1"/>
      <c r="B414" s="1" t="e">
        <f t="array" aca="1" ref="B414" ca="1">_xludf.XLOOKUP(A414, 도서_정보[ID], 도서_정보[도서명], "")</f>
        <v>#NAME?</v>
      </c>
      <c r="C414" s="1" t="e">
        <f t="array" aca="1" ref="C414" ca="1">_xludf.XLOOKUP(A414, 도서_정보[ID], 도서_정보[작업 페이지], "")</f>
        <v>#NAME?</v>
      </c>
      <c r="D414" s="70" t="b">
        <v>0</v>
      </c>
      <c r="E414" s="70" t="b">
        <v>0</v>
      </c>
      <c r="F414" s="79" t="b">
        <v>0</v>
      </c>
      <c r="G414" s="70" t="b">
        <v>0</v>
      </c>
      <c r="H414" s="70" t="b">
        <v>0</v>
      </c>
      <c r="I414" s="70" t="b">
        <v>0</v>
      </c>
      <c r="J414" s="70" t="b">
        <v>0</v>
      </c>
      <c r="K414" s="79" t="b">
        <v>0</v>
      </c>
      <c r="L414" s="70" t="b">
        <v>0</v>
      </c>
      <c r="M414" s="70" t="b">
        <v>0</v>
      </c>
      <c r="N414" s="1"/>
    </row>
    <row r="415" spans="1:14" ht="22.5" customHeight="1">
      <c r="A415" s="1"/>
      <c r="B415" s="1" t="e">
        <f t="array" aca="1" ref="B415" ca="1">_xludf.XLOOKUP(A415, 도서_정보[ID], 도서_정보[도서명], "")</f>
        <v>#NAME?</v>
      </c>
      <c r="C415" s="1" t="e">
        <f t="array" aca="1" ref="C415" ca="1">_xludf.XLOOKUP(A415, 도서_정보[ID], 도서_정보[작업 페이지], "")</f>
        <v>#NAME?</v>
      </c>
      <c r="D415" s="70" t="b">
        <v>0</v>
      </c>
      <c r="E415" s="70" t="b">
        <v>0</v>
      </c>
      <c r="F415" s="79" t="b">
        <v>0</v>
      </c>
      <c r="G415" s="70" t="b">
        <v>0</v>
      </c>
      <c r="H415" s="70" t="b">
        <v>0</v>
      </c>
      <c r="I415" s="70" t="b">
        <v>0</v>
      </c>
      <c r="J415" s="70" t="b">
        <v>0</v>
      </c>
      <c r="K415" s="79" t="b">
        <v>0</v>
      </c>
      <c r="L415" s="70" t="b">
        <v>0</v>
      </c>
      <c r="M415" s="70" t="b">
        <v>0</v>
      </c>
      <c r="N415" s="1"/>
    </row>
    <row r="416" spans="1:14" ht="22.5" customHeight="1">
      <c r="A416" s="1"/>
      <c r="B416" s="1" t="e">
        <f t="array" aca="1" ref="B416" ca="1">_xludf.XLOOKUP(A416, 도서_정보[ID], 도서_정보[도서명], "")</f>
        <v>#NAME?</v>
      </c>
      <c r="C416" s="1" t="e">
        <f t="array" aca="1" ref="C416" ca="1">_xludf.XLOOKUP(A416, 도서_정보[ID], 도서_정보[작업 페이지], "")</f>
        <v>#NAME?</v>
      </c>
      <c r="D416" s="70" t="b">
        <v>0</v>
      </c>
      <c r="E416" s="70" t="b">
        <v>0</v>
      </c>
      <c r="F416" s="79" t="b">
        <v>0</v>
      </c>
      <c r="G416" s="70" t="b">
        <v>0</v>
      </c>
      <c r="H416" s="70" t="b">
        <v>0</v>
      </c>
      <c r="I416" s="70" t="b">
        <v>0</v>
      </c>
      <c r="J416" s="70" t="b">
        <v>0</v>
      </c>
      <c r="K416" s="79" t="b">
        <v>0</v>
      </c>
      <c r="L416" s="70" t="b">
        <v>0</v>
      </c>
      <c r="M416" s="70" t="b">
        <v>0</v>
      </c>
      <c r="N416" s="1"/>
    </row>
    <row r="417" spans="1:14" ht="22.5" customHeight="1">
      <c r="A417" s="1"/>
      <c r="B417" s="1" t="e">
        <f t="array" aca="1" ref="B417" ca="1">_xludf.XLOOKUP(A417, 도서_정보[ID], 도서_정보[도서명], "")</f>
        <v>#NAME?</v>
      </c>
      <c r="C417" s="1" t="e">
        <f t="array" aca="1" ref="C417" ca="1">_xludf.XLOOKUP(A417, 도서_정보[ID], 도서_정보[작업 페이지], "")</f>
        <v>#NAME?</v>
      </c>
      <c r="D417" s="70" t="b">
        <v>0</v>
      </c>
      <c r="E417" s="70" t="b">
        <v>0</v>
      </c>
      <c r="F417" s="79" t="b">
        <v>0</v>
      </c>
      <c r="G417" s="70" t="b">
        <v>0</v>
      </c>
      <c r="H417" s="70" t="b">
        <v>0</v>
      </c>
      <c r="I417" s="70" t="b">
        <v>0</v>
      </c>
      <c r="J417" s="70" t="b">
        <v>0</v>
      </c>
      <c r="K417" s="79" t="b">
        <v>0</v>
      </c>
      <c r="L417" s="70" t="b">
        <v>0</v>
      </c>
      <c r="M417" s="70" t="b">
        <v>0</v>
      </c>
      <c r="N417" s="1"/>
    </row>
    <row r="418" spans="1:14" ht="22.5" customHeight="1">
      <c r="A418" s="1"/>
      <c r="B418" s="1" t="e">
        <f t="array" aca="1" ref="B418" ca="1">_xludf.XLOOKUP(A418, 도서_정보[ID], 도서_정보[도서명], "")</f>
        <v>#NAME?</v>
      </c>
      <c r="C418" s="1" t="e">
        <f t="array" aca="1" ref="C418" ca="1">_xludf.XLOOKUP(A418, 도서_정보[ID], 도서_정보[작업 페이지], "")</f>
        <v>#NAME?</v>
      </c>
      <c r="D418" s="70" t="b">
        <v>0</v>
      </c>
      <c r="E418" s="70" t="b">
        <v>0</v>
      </c>
      <c r="F418" s="79" t="b">
        <v>0</v>
      </c>
      <c r="G418" s="70" t="b">
        <v>0</v>
      </c>
      <c r="H418" s="70" t="b">
        <v>0</v>
      </c>
      <c r="I418" s="70" t="b">
        <v>0</v>
      </c>
      <c r="J418" s="70" t="b">
        <v>0</v>
      </c>
      <c r="K418" s="79" t="b">
        <v>0</v>
      </c>
      <c r="L418" s="70" t="b">
        <v>0</v>
      </c>
      <c r="M418" s="70" t="b">
        <v>0</v>
      </c>
      <c r="N418" s="1"/>
    </row>
    <row r="419" spans="1:14" ht="22.5" customHeight="1">
      <c r="A419" s="1"/>
      <c r="B419" s="1" t="e">
        <f t="array" aca="1" ref="B419" ca="1">_xludf.XLOOKUP(A419, 도서_정보[ID], 도서_정보[도서명], "")</f>
        <v>#NAME?</v>
      </c>
      <c r="C419" s="1" t="e">
        <f t="array" aca="1" ref="C419" ca="1">_xludf.XLOOKUP(A419, 도서_정보[ID], 도서_정보[작업 페이지], "")</f>
        <v>#NAME?</v>
      </c>
      <c r="D419" s="70" t="b">
        <v>0</v>
      </c>
      <c r="E419" s="70" t="b">
        <v>0</v>
      </c>
      <c r="F419" s="79" t="b">
        <v>0</v>
      </c>
      <c r="G419" s="70" t="b">
        <v>0</v>
      </c>
      <c r="H419" s="70" t="b">
        <v>0</v>
      </c>
      <c r="I419" s="70" t="b">
        <v>0</v>
      </c>
      <c r="J419" s="70" t="b">
        <v>0</v>
      </c>
      <c r="K419" s="79" t="b">
        <v>0</v>
      </c>
      <c r="L419" s="70" t="b">
        <v>0</v>
      </c>
      <c r="M419" s="70" t="b">
        <v>0</v>
      </c>
      <c r="N419" s="1"/>
    </row>
    <row r="420" spans="1:14" ht="22.5" customHeight="1">
      <c r="A420" s="1"/>
      <c r="B420" s="1" t="e">
        <f t="array" aca="1" ref="B420" ca="1">_xludf.XLOOKUP(A420, 도서_정보[ID], 도서_정보[도서명], "")</f>
        <v>#NAME?</v>
      </c>
      <c r="C420" s="1" t="e">
        <f t="array" aca="1" ref="C420" ca="1">_xludf.XLOOKUP(A420, 도서_정보[ID], 도서_정보[작업 페이지], "")</f>
        <v>#NAME?</v>
      </c>
      <c r="D420" s="70" t="b">
        <v>0</v>
      </c>
      <c r="E420" s="70" t="b">
        <v>0</v>
      </c>
      <c r="F420" s="79" t="b">
        <v>0</v>
      </c>
      <c r="G420" s="70" t="b">
        <v>0</v>
      </c>
      <c r="H420" s="70" t="b">
        <v>0</v>
      </c>
      <c r="I420" s="70" t="b">
        <v>0</v>
      </c>
      <c r="J420" s="70" t="b">
        <v>0</v>
      </c>
      <c r="K420" s="79" t="b">
        <v>0</v>
      </c>
      <c r="L420" s="70" t="b">
        <v>0</v>
      </c>
      <c r="M420" s="70" t="b">
        <v>0</v>
      </c>
      <c r="N420" s="1"/>
    </row>
    <row r="421" spans="1:14" ht="22.5" customHeight="1">
      <c r="A421" s="1"/>
      <c r="B421" s="1" t="e">
        <f t="array" aca="1" ref="B421" ca="1">_xludf.XLOOKUP(A421, 도서_정보[ID], 도서_정보[도서명], "")</f>
        <v>#NAME?</v>
      </c>
      <c r="C421" s="1" t="e">
        <f t="array" aca="1" ref="C421" ca="1">_xludf.XLOOKUP(A421, 도서_정보[ID], 도서_정보[작업 페이지], "")</f>
        <v>#NAME?</v>
      </c>
      <c r="D421" s="70" t="b">
        <v>0</v>
      </c>
      <c r="E421" s="70" t="b">
        <v>0</v>
      </c>
      <c r="F421" s="79" t="b">
        <v>0</v>
      </c>
      <c r="G421" s="70" t="b">
        <v>0</v>
      </c>
      <c r="H421" s="70" t="b">
        <v>0</v>
      </c>
      <c r="I421" s="70" t="b">
        <v>0</v>
      </c>
      <c r="J421" s="70" t="b">
        <v>0</v>
      </c>
      <c r="K421" s="79" t="b">
        <v>0</v>
      </c>
      <c r="L421" s="70" t="b">
        <v>0</v>
      </c>
      <c r="M421" s="70" t="b">
        <v>0</v>
      </c>
      <c r="N421" s="1"/>
    </row>
    <row r="422" spans="1:14" ht="22.5" customHeight="1">
      <c r="A422" s="1"/>
      <c r="B422" s="1" t="e">
        <f t="array" aca="1" ref="B422" ca="1">_xludf.XLOOKUP(A422, 도서_정보[ID], 도서_정보[도서명], "")</f>
        <v>#NAME?</v>
      </c>
      <c r="C422" s="1" t="e">
        <f t="array" aca="1" ref="C422" ca="1">_xludf.XLOOKUP(A422, 도서_정보[ID], 도서_정보[작업 페이지], "")</f>
        <v>#NAME?</v>
      </c>
      <c r="D422" s="70" t="b">
        <v>0</v>
      </c>
      <c r="E422" s="70" t="b">
        <v>0</v>
      </c>
      <c r="F422" s="79" t="b">
        <v>0</v>
      </c>
      <c r="G422" s="70" t="b">
        <v>0</v>
      </c>
      <c r="H422" s="70" t="b">
        <v>0</v>
      </c>
      <c r="I422" s="70" t="b">
        <v>0</v>
      </c>
      <c r="J422" s="70" t="b">
        <v>0</v>
      </c>
      <c r="K422" s="79" t="b">
        <v>0</v>
      </c>
      <c r="L422" s="70" t="b">
        <v>0</v>
      </c>
      <c r="M422" s="70" t="b">
        <v>0</v>
      </c>
      <c r="N422" s="1"/>
    </row>
    <row r="423" spans="1:14" ht="22.5" customHeight="1">
      <c r="A423" s="1"/>
      <c r="B423" s="1" t="e">
        <f t="array" aca="1" ref="B423" ca="1">_xludf.XLOOKUP(A423, 도서_정보[ID], 도서_정보[도서명], "")</f>
        <v>#NAME?</v>
      </c>
      <c r="C423" s="1" t="e">
        <f t="array" aca="1" ref="C423" ca="1">_xludf.XLOOKUP(A423, 도서_정보[ID], 도서_정보[작업 페이지], "")</f>
        <v>#NAME?</v>
      </c>
      <c r="D423" s="70" t="b">
        <v>0</v>
      </c>
      <c r="E423" s="70" t="b">
        <v>0</v>
      </c>
      <c r="F423" s="79" t="b">
        <v>0</v>
      </c>
      <c r="G423" s="70" t="b">
        <v>0</v>
      </c>
      <c r="H423" s="70" t="b">
        <v>0</v>
      </c>
      <c r="I423" s="70" t="b">
        <v>0</v>
      </c>
      <c r="J423" s="70" t="b">
        <v>0</v>
      </c>
      <c r="K423" s="79" t="b">
        <v>0</v>
      </c>
      <c r="L423" s="70" t="b">
        <v>0</v>
      </c>
      <c r="M423" s="70" t="b">
        <v>0</v>
      </c>
      <c r="N423" s="1"/>
    </row>
    <row r="424" spans="1:14" ht="22.5" customHeight="1">
      <c r="A424" s="1"/>
      <c r="B424" s="1" t="e">
        <f t="array" aca="1" ref="B424" ca="1">_xludf.XLOOKUP(A424, 도서_정보[ID], 도서_정보[도서명], "")</f>
        <v>#NAME?</v>
      </c>
      <c r="C424" s="1" t="e">
        <f t="array" aca="1" ref="C424" ca="1">_xludf.XLOOKUP(A424, 도서_정보[ID], 도서_정보[작업 페이지], "")</f>
        <v>#NAME?</v>
      </c>
      <c r="D424" s="70" t="b">
        <v>0</v>
      </c>
      <c r="E424" s="70" t="b">
        <v>0</v>
      </c>
      <c r="F424" s="79" t="b">
        <v>0</v>
      </c>
      <c r="G424" s="70" t="b">
        <v>0</v>
      </c>
      <c r="H424" s="70" t="b">
        <v>0</v>
      </c>
      <c r="I424" s="70" t="b">
        <v>0</v>
      </c>
      <c r="J424" s="70" t="b">
        <v>0</v>
      </c>
      <c r="K424" s="79" t="b">
        <v>0</v>
      </c>
      <c r="L424" s="70" t="b">
        <v>0</v>
      </c>
      <c r="M424" s="70" t="b">
        <v>0</v>
      </c>
      <c r="N424" s="1"/>
    </row>
    <row r="425" spans="1:14" ht="22.5" customHeight="1">
      <c r="A425" s="1"/>
      <c r="B425" s="1" t="e">
        <f t="array" aca="1" ref="B425" ca="1">_xludf.XLOOKUP(A425, 도서_정보[ID], 도서_정보[도서명], "")</f>
        <v>#NAME?</v>
      </c>
      <c r="C425" s="1" t="e">
        <f t="array" aca="1" ref="C425" ca="1">_xludf.XLOOKUP(A425, 도서_정보[ID], 도서_정보[작업 페이지], "")</f>
        <v>#NAME?</v>
      </c>
      <c r="D425" s="70" t="b">
        <v>0</v>
      </c>
      <c r="E425" s="70" t="b">
        <v>0</v>
      </c>
      <c r="F425" s="79" t="b">
        <v>0</v>
      </c>
      <c r="G425" s="70" t="b">
        <v>0</v>
      </c>
      <c r="H425" s="70" t="b">
        <v>0</v>
      </c>
      <c r="I425" s="70" t="b">
        <v>0</v>
      </c>
      <c r="J425" s="70" t="b">
        <v>0</v>
      </c>
      <c r="K425" s="79" t="b">
        <v>0</v>
      </c>
      <c r="L425" s="70" t="b">
        <v>0</v>
      </c>
      <c r="M425" s="70" t="b">
        <v>0</v>
      </c>
      <c r="N425" s="1"/>
    </row>
    <row r="426" spans="1:14" ht="22.5" customHeight="1">
      <c r="A426" s="1"/>
      <c r="B426" s="1" t="e">
        <f t="array" aca="1" ref="B426" ca="1">_xludf.XLOOKUP(A426, 도서_정보[ID], 도서_정보[도서명], "")</f>
        <v>#NAME?</v>
      </c>
      <c r="C426" s="1" t="e">
        <f t="array" aca="1" ref="C426" ca="1">_xludf.XLOOKUP(A426, 도서_정보[ID], 도서_정보[작업 페이지], "")</f>
        <v>#NAME?</v>
      </c>
      <c r="D426" s="70" t="b">
        <v>0</v>
      </c>
      <c r="E426" s="70" t="b">
        <v>0</v>
      </c>
      <c r="F426" s="79" t="b">
        <v>0</v>
      </c>
      <c r="G426" s="70" t="b">
        <v>0</v>
      </c>
      <c r="H426" s="70" t="b">
        <v>0</v>
      </c>
      <c r="I426" s="70" t="b">
        <v>0</v>
      </c>
      <c r="J426" s="70" t="b">
        <v>0</v>
      </c>
      <c r="K426" s="79" t="b">
        <v>0</v>
      </c>
      <c r="L426" s="70" t="b">
        <v>0</v>
      </c>
      <c r="M426" s="70" t="b">
        <v>0</v>
      </c>
      <c r="N426" s="1"/>
    </row>
    <row r="427" spans="1:14" ht="22.5" customHeight="1">
      <c r="A427" s="1"/>
      <c r="B427" s="1" t="e">
        <f t="array" aca="1" ref="B427" ca="1">_xludf.XLOOKUP(A427, 도서_정보[ID], 도서_정보[도서명], "")</f>
        <v>#NAME?</v>
      </c>
      <c r="C427" s="1" t="e">
        <f t="array" aca="1" ref="C427" ca="1">_xludf.XLOOKUP(A427, 도서_정보[ID], 도서_정보[작업 페이지], "")</f>
        <v>#NAME?</v>
      </c>
      <c r="D427" s="70" t="b">
        <v>0</v>
      </c>
      <c r="E427" s="70" t="b">
        <v>0</v>
      </c>
      <c r="F427" s="79" t="b">
        <v>0</v>
      </c>
      <c r="G427" s="70" t="b">
        <v>0</v>
      </c>
      <c r="H427" s="70" t="b">
        <v>0</v>
      </c>
      <c r="I427" s="70" t="b">
        <v>0</v>
      </c>
      <c r="J427" s="70" t="b">
        <v>0</v>
      </c>
      <c r="K427" s="79" t="b">
        <v>0</v>
      </c>
      <c r="L427" s="70" t="b">
        <v>0</v>
      </c>
      <c r="M427" s="70" t="b">
        <v>0</v>
      </c>
      <c r="N427" s="1"/>
    </row>
    <row r="428" spans="1:14" ht="22.5" customHeight="1">
      <c r="A428" s="1"/>
      <c r="B428" s="1" t="e">
        <f t="array" aca="1" ref="B428" ca="1">_xludf.XLOOKUP(A428, 도서_정보[ID], 도서_정보[도서명], "")</f>
        <v>#NAME?</v>
      </c>
      <c r="C428" s="1" t="e">
        <f t="array" aca="1" ref="C428" ca="1">_xludf.XLOOKUP(A428, 도서_정보[ID], 도서_정보[작업 페이지], "")</f>
        <v>#NAME?</v>
      </c>
      <c r="D428" s="70" t="b">
        <v>0</v>
      </c>
      <c r="E428" s="70" t="b">
        <v>0</v>
      </c>
      <c r="F428" s="79" t="b">
        <v>0</v>
      </c>
      <c r="G428" s="70" t="b">
        <v>0</v>
      </c>
      <c r="H428" s="70" t="b">
        <v>0</v>
      </c>
      <c r="I428" s="70" t="b">
        <v>0</v>
      </c>
      <c r="J428" s="70" t="b">
        <v>0</v>
      </c>
      <c r="K428" s="79" t="b">
        <v>0</v>
      </c>
      <c r="L428" s="70" t="b">
        <v>0</v>
      </c>
      <c r="M428" s="70" t="b">
        <v>0</v>
      </c>
      <c r="N428" s="1"/>
    </row>
    <row r="429" spans="1:14" ht="22.5" customHeight="1">
      <c r="A429" s="1"/>
      <c r="B429" s="1" t="e">
        <f t="array" aca="1" ref="B429" ca="1">_xludf.XLOOKUP(A429, 도서_정보[ID], 도서_정보[도서명], "")</f>
        <v>#NAME?</v>
      </c>
      <c r="C429" s="1" t="e">
        <f t="array" aca="1" ref="C429" ca="1">_xludf.XLOOKUP(A429, 도서_정보[ID], 도서_정보[작업 페이지], "")</f>
        <v>#NAME?</v>
      </c>
      <c r="D429" s="70" t="b">
        <v>0</v>
      </c>
      <c r="E429" s="70" t="b">
        <v>0</v>
      </c>
      <c r="F429" s="79" t="b">
        <v>0</v>
      </c>
      <c r="G429" s="70" t="b">
        <v>0</v>
      </c>
      <c r="H429" s="70" t="b">
        <v>0</v>
      </c>
      <c r="I429" s="70" t="b">
        <v>0</v>
      </c>
      <c r="J429" s="70" t="b">
        <v>0</v>
      </c>
      <c r="K429" s="79" t="b">
        <v>0</v>
      </c>
      <c r="L429" s="70" t="b">
        <v>0</v>
      </c>
      <c r="M429" s="70" t="b">
        <v>0</v>
      </c>
      <c r="N429" s="1"/>
    </row>
    <row r="430" spans="1:14" ht="22.5" customHeight="1">
      <c r="A430" s="1"/>
      <c r="B430" s="1" t="e">
        <f t="array" aca="1" ref="B430" ca="1">_xludf.XLOOKUP(A430, 도서_정보[ID], 도서_정보[도서명], "")</f>
        <v>#NAME?</v>
      </c>
      <c r="C430" s="1" t="e">
        <f t="array" aca="1" ref="C430" ca="1">_xludf.XLOOKUP(A430, 도서_정보[ID], 도서_정보[작업 페이지], "")</f>
        <v>#NAME?</v>
      </c>
      <c r="D430" s="70" t="b">
        <v>0</v>
      </c>
      <c r="E430" s="70" t="b">
        <v>0</v>
      </c>
      <c r="F430" s="79" t="b">
        <v>0</v>
      </c>
      <c r="G430" s="70" t="b">
        <v>0</v>
      </c>
      <c r="H430" s="70" t="b">
        <v>0</v>
      </c>
      <c r="I430" s="70" t="b">
        <v>0</v>
      </c>
      <c r="J430" s="70" t="b">
        <v>0</v>
      </c>
      <c r="K430" s="79" t="b">
        <v>0</v>
      </c>
      <c r="L430" s="70" t="b">
        <v>0</v>
      </c>
      <c r="M430" s="70" t="b">
        <v>0</v>
      </c>
      <c r="N430" s="1"/>
    </row>
    <row r="431" spans="1:14" ht="22.5" customHeight="1">
      <c r="A431" s="1"/>
      <c r="B431" s="1" t="e">
        <f t="array" aca="1" ref="B431" ca="1">_xludf.XLOOKUP(A431, 도서_정보[ID], 도서_정보[도서명], "")</f>
        <v>#NAME?</v>
      </c>
      <c r="C431" s="1" t="e">
        <f t="array" aca="1" ref="C431" ca="1">_xludf.XLOOKUP(A431, 도서_정보[ID], 도서_정보[작업 페이지], "")</f>
        <v>#NAME?</v>
      </c>
      <c r="D431" s="70" t="b">
        <v>0</v>
      </c>
      <c r="E431" s="70" t="b">
        <v>0</v>
      </c>
      <c r="F431" s="79" t="b">
        <v>0</v>
      </c>
      <c r="G431" s="70" t="b">
        <v>0</v>
      </c>
      <c r="H431" s="70" t="b">
        <v>0</v>
      </c>
      <c r="I431" s="70" t="b">
        <v>0</v>
      </c>
      <c r="J431" s="70" t="b">
        <v>0</v>
      </c>
      <c r="K431" s="79" t="b">
        <v>0</v>
      </c>
      <c r="L431" s="70" t="b">
        <v>0</v>
      </c>
      <c r="M431" s="70" t="b">
        <v>0</v>
      </c>
      <c r="N431" s="1"/>
    </row>
    <row r="432" spans="1:14" ht="22.5" customHeight="1">
      <c r="A432" s="1"/>
      <c r="B432" s="1" t="e">
        <f t="array" aca="1" ref="B432" ca="1">_xludf.XLOOKUP(A432, 도서_정보[ID], 도서_정보[도서명], "")</f>
        <v>#NAME?</v>
      </c>
      <c r="C432" s="1" t="e">
        <f t="array" aca="1" ref="C432" ca="1">_xludf.XLOOKUP(A432, 도서_정보[ID], 도서_정보[작업 페이지], "")</f>
        <v>#NAME?</v>
      </c>
      <c r="D432" s="70" t="b">
        <v>0</v>
      </c>
      <c r="E432" s="70" t="b">
        <v>0</v>
      </c>
      <c r="F432" s="79" t="b">
        <v>0</v>
      </c>
      <c r="G432" s="70" t="b">
        <v>0</v>
      </c>
      <c r="H432" s="70" t="b">
        <v>0</v>
      </c>
      <c r="I432" s="70" t="b">
        <v>0</v>
      </c>
      <c r="J432" s="70" t="b">
        <v>0</v>
      </c>
      <c r="K432" s="79" t="b">
        <v>0</v>
      </c>
      <c r="L432" s="70" t="b">
        <v>0</v>
      </c>
      <c r="M432" s="70" t="b">
        <v>0</v>
      </c>
      <c r="N432" s="1"/>
    </row>
    <row r="433" spans="1:14" ht="22.5" customHeight="1">
      <c r="A433" s="1"/>
      <c r="B433" s="1" t="e">
        <f t="array" aca="1" ref="B433" ca="1">_xludf.XLOOKUP(A433, 도서_정보[ID], 도서_정보[도서명], "")</f>
        <v>#NAME?</v>
      </c>
      <c r="C433" s="1" t="e">
        <f t="array" aca="1" ref="C433" ca="1">_xludf.XLOOKUP(A433, 도서_정보[ID], 도서_정보[작업 페이지], "")</f>
        <v>#NAME?</v>
      </c>
      <c r="D433" s="70" t="b">
        <v>0</v>
      </c>
      <c r="E433" s="70" t="b">
        <v>0</v>
      </c>
      <c r="F433" s="79" t="b">
        <v>0</v>
      </c>
      <c r="G433" s="70" t="b">
        <v>0</v>
      </c>
      <c r="H433" s="70" t="b">
        <v>0</v>
      </c>
      <c r="I433" s="70" t="b">
        <v>0</v>
      </c>
      <c r="J433" s="70" t="b">
        <v>0</v>
      </c>
      <c r="K433" s="79" t="b">
        <v>0</v>
      </c>
      <c r="L433" s="70" t="b">
        <v>0</v>
      </c>
      <c r="M433" s="70" t="b">
        <v>0</v>
      </c>
      <c r="N433" s="1"/>
    </row>
    <row r="434" spans="1:14" ht="22.5" customHeight="1">
      <c r="A434" s="1"/>
      <c r="B434" s="1" t="e">
        <f t="array" aca="1" ref="B434" ca="1">_xludf.XLOOKUP(A434, 도서_정보[ID], 도서_정보[도서명], "")</f>
        <v>#NAME?</v>
      </c>
      <c r="C434" s="1" t="e">
        <f t="array" aca="1" ref="C434" ca="1">_xludf.XLOOKUP(A434, 도서_정보[ID], 도서_정보[작업 페이지], "")</f>
        <v>#NAME?</v>
      </c>
      <c r="D434" s="70" t="b">
        <v>0</v>
      </c>
      <c r="E434" s="70" t="b">
        <v>0</v>
      </c>
      <c r="F434" s="79" t="b">
        <v>0</v>
      </c>
      <c r="G434" s="70" t="b">
        <v>0</v>
      </c>
      <c r="H434" s="70" t="b">
        <v>0</v>
      </c>
      <c r="I434" s="70" t="b">
        <v>0</v>
      </c>
      <c r="J434" s="70" t="b">
        <v>0</v>
      </c>
      <c r="K434" s="79" t="b">
        <v>0</v>
      </c>
      <c r="L434" s="70" t="b">
        <v>0</v>
      </c>
      <c r="M434" s="70" t="b">
        <v>0</v>
      </c>
      <c r="N434" s="1"/>
    </row>
    <row r="435" spans="1:14" ht="22.5" customHeight="1">
      <c r="A435" s="1"/>
      <c r="B435" s="1" t="e">
        <f t="array" aca="1" ref="B435" ca="1">_xludf.XLOOKUP(A435, 도서_정보[ID], 도서_정보[도서명], "")</f>
        <v>#NAME?</v>
      </c>
      <c r="C435" s="1" t="e">
        <f t="array" aca="1" ref="C435" ca="1">_xludf.XLOOKUP(A435, 도서_정보[ID], 도서_정보[작업 페이지], "")</f>
        <v>#NAME?</v>
      </c>
      <c r="D435" s="70" t="b">
        <v>0</v>
      </c>
      <c r="E435" s="70" t="b">
        <v>0</v>
      </c>
      <c r="F435" s="79" t="b">
        <v>0</v>
      </c>
      <c r="G435" s="70" t="b">
        <v>0</v>
      </c>
      <c r="H435" s="70" t="b">
        <v>0</v>
      </c>
      <c r="I435" s="70" t="b">
        <v>0</v>
      </c>
      <c r="J435" s="70" t="b">
        <v>0</v>
      </c>
      <c r="K435" s="79" t="b">
        <v>0</v>
      </c>
      <c r="L435" s="70" t="b">
        <v>0</v>
      </c>
      <c r="M435" s="70" t="b">
        <v>0</v>
      </c>
      <c r="N435" s="1"/>
    </row>
    <row r="436" spans="1:14" ht="22.5" customHeight="1">
      <c r="A436" s="1"/>
      <c r="B436" s="1" t="e">
        <f t="array" aca="1" ref="B436" ca="1">_xludf.XLOOKUP(A436, 도서_정보[ID], 도서_정보[도서명], "")</f>
        <v>#NAME?</v>
      </c>
      <c r="C436" s="1" t="e">
        <f t="array" aca="1" ref="C436" ca="1">_xludf.XLOOKUP(A436, 도서_정보[ID], 도서_정보[작업 페이지], "")</f>
        <v>#NAME?</v>
      </c>
      <c r="D436" s="70" t="b">
        <v>0</v>
      </c>
      <c r="E436" s="70" t="b">
        <v>0</v>
      </c>
      <c r="F436" s="79" t="b">
        <v>0</v>
      </c>
      <c r="G436" s="70" t="b">
        <v>0</v>
      </c>
      <c r="H436" s="70" t="b">
        <v>0</v>
      </c>
      <c r="I436" s="70" t="b">
        <v>0</v>
      </c>
      <c r="J436" s="70" t="b">
        <v>0</v>
      </c>
      <c r="K436" s="79" t="b">
        <v>0</v>
      </c>
      <c r="L436" s="70" t="b">
        <v>0</v>
      </c>
      <c r="M436" s="70" t="b">
        <v>0</v>
      </c>
      <c r="N436" s="1"/>
    </row>
    <row r="437" spans="1:14" ht="22.5" customHeight="1">
      <c r="A437" s="1"/>
      <c r="B437" s="1" t="e">
        <f t="array" aca="1" ref="B437" ca="1">_xludf.XLOOKUP(A437, 도서_정보[ID], 도서_정보[도서명], "")</f>
        <v>#NAME?</v>
      </c>
      <c r="C437" s="1" t="e">
        <f t="array" aca="1" ref="C437" ca="1">_xludf.XLOOKUP(A437, 도서_정보[ID], 도서_정보[작업 페이지], "")</f>
        <v>#NAME?</v>
      </c>
      <c r="D437" s="70" t="b">
        <v>0</v>
      </c>
      <c r="E437" s="70" t="b">
        <v>0</v>
      </c>
      <c r="F437" s="79" t="b">
        <v>0</v>
      </c>
      <c r="G437" s="70" t="b">
        <v>0</v>
      </c>
      <c r="H437" s="70" t="b">
        <v>0</v>
      </c>
      <c r="I437" s="70" t="b">
        <v>0</v>
      </c>
      <c r="J437" s="70" t="b">
        <v>0</v>
      </c>
      <c r="K437" s="79" t="b">
        <v>0</v>
      </c>
      <c r="L437" s="70" t="b">
        <v>0</v>
      </c>
      <c r="M437" s="70" t="b">
        <v>0</v>
      </c>
      <c r="N437" s="1"/>
    </row>
    <row r="438" spans="1:14" ht="22.5" customHeight="1">
      <c r="A438" s="1"/>
      <c r="B438" s="1" t="e">
        <f t="array" aca="1" ref="B438" ca="1">_xludf.XLOOKUP(A438, 도서_정보[ID], 도서_정보[도서명], "")</f>
        <v>#NAME?</v>
      </c>
      <c r="C438" s="1" t="e">
        <f t="array" aca="1" ref="C438" ca="1">_xludf.XLOOKUP(A438, 도서_정보[ID], 도서_정보[작업 페이지], "")</f>
        <v>#NAME?</v>
      </c>
      <c r="D438" s="70" t="b">
        <v>0</v>
      </c>
      <c r="E438" s="70" t="b">
        <v>0</v>
      </c>
      <c r="F438" s="79" t="b">
        <v>0</v>
      </c>
      <c r="G438" s="70" t="b">
        <v>0</v>
      </c>
      <c r="H438" s="70" t="b">
        <v>0</v>
      </c>
      <c r="I438" s="70" t="b">
        <v>0</v>
      </c>
      <c r="J438" s="70" t="b">
        <v>0</v>
      </c>
      <c r="K438" s="79" t="b">
        <v>0</v>
      </c>
      <c r="L438" s="70" t="b">
        <v>0</v>
      </c>
      <c r="M438" s="70" t="b">
        <v>0</v>
      </c>
      <c r="N438" s="1"/>
    </row>
    <row r="439" spans="1:14" ht="22.5" customHeight="1">
      <c r="A439" s="1"/>
      <c r="B439" s="1" t="e">
        <f t="array" aca="1" ref="B439" ca="1">_xludf.XLOOKUP(A439, 도서_정보[ID], 도서_정보[도서명], "")</f>
        <v>#NAME?</v>
      </c>
      <c r="C439" s="1" t="e">
        <f t="array" aca="1" ref="C439" ca="1">_xludf.XLOOKUP(A439, 도서_정보[ID], 도서_정보[작업 페이지], "")</f>
        <v>#NAME?</v>
      </c>
      <c r="D439" s="70" t="b">
        <v>0</v>
      </c>
      <c r="E439" s="70" t="b">
        <v>0</v>
      </c>
      <c r="F439" s="79" t="b">
        <v>0</v>
      </c>
      <c r="G439" s="70" t="b">
        <v>0</v>
      </c>
      <c r="H439" s="70" t="b">
        <v>0</v>
      </c>
      <c r="I439" s="70" t="b">
        <v>0</v>
      </c>
      <c r="J439" s="70" t="b">
        <v>0</v>
      </c>
      <c r="K439" s="79" t="b">
        <v>0</v>
      </c>
      <c r="L439" s="70" t="b">
        <v>0</v>
      </c>
      <c r="M439" s="70" t="b">
        <v>0</v>
      </c>
      <c r="N439" s="1"/>
    </row>
    <row r="440" spans="1:14" ht="22.5" customHeight="1">
      <c r="A440" s="1"/>
      <c r="B440" s="1" t="e">
        <f t="array" aca="1" ref="B440" ca="1">_xludf.XLOOKUP(A440, 도서_정보[ID], 도서_정보[도서명], "")</f>
        <v>#NAME?</v>
      </c>
      <c r="C440" s="1" t="e">
        <f t="array" aca="1" ref="C440" ca="1">_xludf.XLOOKUP(A440, 도서_정보[ID], 도서_정보[작업 페이지], "")</f>
        <v>#NAME?</v>
      </c>
      <c r="D440" s="70" t="b">
        <v>0</v>
      </c>
      <c r="E440" s="70" t="b">
        <v>0</v>
      </c>
      <c r="F440" s="79" t="b">
        <v>0</v>
      </c>
      <c r="G440" s="70" t="b">
        <v>0</v>
      </c>
      <c r="H440" s="70" t="b">
        <v>0</v>
      </c>
      <c r="I440" s="70" t="b">
        <v>0</v>
      </c>
      <c r="J440" s="70" t="b">
        <v>0</v>
      </c>
      <c r="K440" s="79" t="b">
        <v>0</v>
      </c>
      <c r="L440" s="70" t="b">
        <v>0</v>
      </c>
      <c r="M440" s="70" t="b">
        <v>0</v>
      </c>
      <c r="N440" s="1"/>
    </row>
    <row r="441" spans="1:14" ht="22.5" customHeight="1">
      <c r="A441" s="1"/>
      <c r="B441" s="1" t="e">
        <f t="array" aca="1" ref="B441" ca="1">_xludf.XLOOKUP(A441, 도서_정보[ID], 도서_정보[도서명], "")</f>
        <v>#NAME?</v>
      </c>
      <c r="C441" s="1" t="e">
        <f t="array" aca="1" ref="C441" ca="1">_xludf.XLOOKUP(A441, 도서_정보[ID], 도서_정보[작업 페이지], "")</f>
        <v>#NAME?</v>
      </c>
      <c r="D441" s="70" t="b">
        <v>0</v>
      </c>
      <c r="E441" s="70" t="b">
        <v>0</v>
      </c>
      <c r="F441" s="79" t="b">
        <v>0</v>
      </c>
      <c r="G441" s="70" t="b">
        <v>0</v>
      </c>
      <c r="H441" s="70" t="b">
        <v>0</v>
      </c>
      <c r="I441" s="70" t="b">
        <v>0</v>
      </c>
      <c r="J441" s="70" t="b">
        <v>0</v>
      </c>
      <c r="K441" s="79" t="b">
        <v>0</v>
      </c>
      <c r="L441" s="70" t="b">
        <v>0</v>
      </c>
      <c r="M441" s="70" t="b">
        <v>0</v>
      </c>
      <c r="N441" s="1"/>
    </row>
    <row r="442" spans="1:14" ht="22.5" customHeight="1">
      <c r="A442" s="1"/>
      <c r="B442" s="1" t="e">
        <f t="array" aca="1" ref="B442" ca="1">_xludf.XLOOKUP(A442, 도서_정보[ID], 도서_정보[도서명], "")</f>
        <v>#NAME?</v>
      </c>
      <c r="C442" s="1" t="e">
        <f t="array" aca="1" ref="C442" ca="1">_xludf.XLOOKUP(A442, 도서_정보[ID], 도서_정보[작업 페이지], "")</f>
        <v>#NAME?</v>
      </c>
      <c r="D442" s="70" t="b">
        <v>0</v>
      </c>
      <c r="E442" s="70" t="b">
        <v>0</v>
      </c>
      <c r="F442" s="79" t="b">
        <v>0</v>
      </c>
      <c r="G442" s="70" t="b">
        <v>0</v>
      </c>
      <c r="H442" s="70" t="b">
        <v>0</v>
      </c>
      <c r="I442" s="70" t="b">
        <v>0</v>
      </c>
      <c r="J442" s="70" t="b">
        <v>0</v>
      </c>
      <c r="K442" s="79" t="b">
        <v>0</v>
      </c>
      <c r="L442" s="70" t="b">
        <v>0</v>
      </c>
      <c r="M442" s="70" t="b">
        <v>0</v>
      </c>
      <c r="N442" s="1"/>
    </row>
    <row r="443" spans="1:14" ht="22.5" customHeight="1">
      <c r="A443" s="1"/>
      <c r="B443" s="1" t="e">
        <f t="array" aca="1" ref="B443" ca="1">_xludf.XLOOKUP(A443, 도서_정보[ID], 도서_정보[도서명], "")</f>
        <v>#NAME?</v>
      </c>
      <c r="C443" s="1" t="e">
        <f t="array" aca="1" ref="C443" ca="1">_xludf.XLOOKUP(A443, 도서_정보[ID], 도서_정보[작업 페이지], "")</f>
        <v>#NAME?</v>
      </c>
      <c r="D443" s="70" t="b">
        <v>0</v>
      </c>
      <c r="E443" s="70" t="b">
        <v>0</v>
      </c>
      <c r="F443" s="79" t="b">
        <v>0</v>
      </c>
      <c r="G443" s="70" t="b">
        <v>0</v>
      </c>
      <c r="H443" s="70" t="b">
        <v>0</v>
      </c>
      <c r="I443" s="70" t="b">
        <v>0</v>
      </c>
      <c r="J443" s="70" t="b">
        <v>0</v>
      </c>
      <c r="K443" s="79" t="b">
        <v>0</v>
      </c>
      <c r="L443" s="70" t="b">
        <v>0</v>
      </c>
      <c r="M443" s="70" t="b">
        <v>0</v>
      </c>
      <c r="N443" s="1"/>
    </row>
    <row r="444" spans="1:14" ht="22.5" customHeight="1">
      <c r="A444" s="1"/>
      <c r="B444" s="1" t="e">
        <f t="array" aca="1" ref="B444" ca="1">_xludf.XLOOKUP(A444, 도서_정보[ID], 도서_정보[도서명], "")</f>
        <v>#NAME?</v>
      </c>
      <c r="C444" s="1" t="e">
        <f t="array" aca="1" ref="C444" ca="1">_xludf.XLOOKUP(A444, 도서_정보[ID], 도서_정보[작업 페이지], "")</f>
        <v>#NAME?</v>
      </c>
      <c r="D444" s="70" t="b">
        <v>0</v>
      </c>
      <c r="E444" s="70" t="b">
        <v>0</v>
      </c>
      <c r="F444" s="79" t="b">
        <v>0</v>
      </c>
      <c r="G444" s="70" t="b">
        <v>0</v>
      </c>
      <c r="H444" s="70" t="b">
        <v>0</v>
      </c>
      <c r="I444" s="70" t="b">
        <v>0</v>
      </c>
      <c r="J444" s="70" t="b">
        <v>0</v>
      </c>
      <c r="K444" s="79" t="b">
        <v>0</v>
      </c>
      <c r="L444" s="70" t="b">
        <v>0</v>
      </c>
      <c r="M444" s="70" t="b">
        <v>0</v>
      </c>
      <c r="N444" s="1"/>
    </row>
    <row r="445" spans="1:14" ht="22.5" customHeight="1">
      <c r="A445" s="1"/>
      <c r="B445" s="1" t="e">
        <f t="array" aca="1" ref="B445" ca="1">_xludf.XLOOKUP(A445, 도서_정보[ID], 도서_정보[도서명], "")</f>
        <v>#NAME?</v>
      </c>
      <c r="C445" s="1" t="e">
        <f t="array" aca="1" ref="C445" ca="1">_xludf.XLOOKUP(A445, 도서_정보[ID], 도서_정보[작업 페이지], "")</f>
        <v>#NAME?</v>
      </c>
      <c r="D445" s="70" t="b">
        <v>0</v>
      </c>
      <c r="E445" s="70" t="b">
        <v>0</v>
      </c>
      <c r="F445" s="79" t="b">
        <v>0</v>
      </c>
      <c r="G445" s="70" t="b">
        <v>0</v>
      </c>
      <c r="H445" s="70" t="b">
        <v>0</v>
      </c>
      <c r="I445" s="70" t="b">
        <v>0</v>
      </c>
      <c r="J445" s="70" t="b">
        <v>0</v>
      </c>
      <c r="K445" s="79" t="b">
        <v>0</v>
      </c>
      <c r="L445" s="70" t="b">
        <v>0</v>
      </c>
      <c r="M445" s="70" t="b">
        <v>0</v>
      </c>
      <c r="N445" s="1"/>
    </row>
    <row r="446" spans="1:14" ht="22.5" customHeight="1">
      <c r="A446" s="1"/>
      <c r="B446" s="1" t="e">
        <f t="array" aca="1" ref="B446" ca="1">_xludf.XLOOKUP(A446, 도서_정보[ID], 도서_정보[도서명], "")</f>
        <v>#NAME?</v>
      </c>
      <c r="C446" s="1" t="e">
        <f t="array" aca="1" ref="C446" ca="1">_xludf.XLOOKUP(A446, 도서_정보[ID], 도서_정보[작업 페이지], "")</f>
        <v>#NAME?</v>
      </c>
      <c r="D446" s="70" t="b">
        <v>0</v>
      </c>
      <c r="E446" s="70" t="b">
        <v>0</v>
      </c>
      <c r="F446" s="79" t="b">
        <v>0</v>
      </c>
      <c r="G446" s="70" t="b">
        <v>0</v>
      </c>
      <c r="H446" s="70" t="b">
        <v>0</v>
      </c>
      <c r="I446" s="70" t="b">
        <v>0</v>
      </c>
      <c r="J446" s="70" t="b">
        <v>0</v>
      </c>
      <c r="K446" s="79" t="b">
        <v>0</v>
      </c>
      <c r="L446" s="70" t="b">
        <v>0</v>
      </c>
      <c r="M446" s="70" t="b">
        <v>0</v>
      </c>
      <c r="N446" s="1"/>
    </row>
    <row r="447" spans="1:14" ht="22.5" customHeight="1">
      <c r="A447" s="1"/>
      <c r="B447" s="1" t="e">
        <f t="array" aca="1" ref="B447" ca="1">_xludf.XLOOKUP(A447, 도서_정보[ID], 도서_정보[도서명], "")</f>
        <v>#NAME?</v>
      </c>
      <c r="C447" s="1" t="e">
        <f t="array" aca="1" ref="C447" ca="1">_xludf.XLOOKUP(A447, 도서_정보[ID], 도서_정보[작업 페이지], "")</f>
        <v>#NAME?</v>
      </c>
      <c r="D447" s="70" t="b">
        <v>0</v>
      </c>
      <c r="E447" s="70" t="b">
        <v>0</v>
      </c>
      <c r="F447" s="79" t="b">
        <v>0</v>
      </c>
      <c r="G447" s="70" t="b">
        <v>0</v>
      </c>
      <c r="H447" s="70" t="b">
        <v>0</v>
      </c>
      <c r="I447" s="70" t="b">
        <v>0</v>
      </c>
      <c r="J447" s="70" t="b">
        <v>0</v>
      </c>
      <c r="K447" s="79" t="b">
        <v>0</v>
      </c>
      <c r="L447" s="70" t="b">
        <v>0</v>
      </c>
      <c r="M447" s="70" t="b">
        <v>0</v>
      </c>
      <c r="N447" s="1"/>
    </row>
    <row r="448" spans="1:14" ht="22.5" customHeight="1">
      <c r="A448" s="1"/>
      <c r="B448" s="1" t="e">
        <f t="array" aca="1" ref="B448" ca="1">_xludf.XLOOKUP(A448, 도서_정보[ID], 도서_정보[도서명], "")</f>
        <v>#NAME?</v>
      </c>
      <c r="C448" s="1" t="e">
        <f t="array" aca="1" ref="C448" ca="1">_xludf.XLOOKUP(A448, 도서_정보[ID], 도서_정보[작업 페이지], "")</f>
        <v>#NAME?</v>
      </c>
      <c r="D448" s="70" t="b">
        <v>0</v>
      </c>
      <c r="E448" s="70" t="b">
        <v>0</v>
      </c>
      <c r="F448" s="79" t="b">
        <v>0</v>
      </c>
      <c r="G448" s="70" t="b">
        <v>0</v>
      </c>
      <c r="H448" s="70" t="b">
        <v>0</v>
      </c>
      <c r="I448" s="70" t="b">
        <v>0</v>
      </c>
      <c r="J448" s="70" t="b">
        <v>0</v>
      </c>
      <c r="K448" s="79" t="b">
        <v>0</v>
      </c>
      <c r="L448" s="70" t="b">
        <v>0</v>
      </c>
      <c r="M448" s="70" t="b">
        <v>0</v>
      </c>
      <c r="N448" s="1"/>
    </row>
    <row r="449" spans="1:14" ht="22.5" customHeight="1">
      <c r="A449" s="1"/>
      <c r="B449" s="1" t="e">
        <f t="array" aca="1" ref="B449" ca="1">_xludf.XLOOKUP(A449, 도서_정보[ID], 도서_정보[도서명], "")</f>
        <v>#NAME?</v>
      </c>
      <c r="C449" s="1" t="e">
        <f t="array" aca="1" ref="C449" ca="1">_xludf.XLOOKUP(A449, 도서_정보[ID], 도서_정보[작업 페이지], "")</f>
        <v>#NAME?</v>
      </c>
      <c r="D449" s="70" t="b">
        <v>0</v>
      </c>
      <c r="E449" s="70" t="b">
        <v>0</v>
      </c>
      <c r="F449" s="79" t="b">
        <v>0</v>
      </c>
      <c r="G449" s="70" t="b">
        <v>0</v>
      </c>
      <c r="H449" s="70" t="b">
        <v>0</v>
      </c>
      <c r="I449" s="70" t="b">
        <v>0</v>
      </c>
      <c r="J449" s="70" t="b">
        <v>0</v>
      </c>
      <c r="K449" s="79" t="b">
        <v>0</v>
      </c>
      <c r="L449" s="70" t="b">
        <v>0</v>
      </c>
      <c r="M449" s="70" t="b">
        <v>0</v>
      </c>
      <c r="N449" s="1"/>
    </row>
    <row r="450" spans="1:14" ht="22.5" customHeight="1">
      <c r="A450" s="1"/>
      <c r="B450" s="1" t="e">
        <f t="array" aca="1" ref="B450" ca="1">_xludf.XLOOKUP(A450, 도서_정보[ID], 도서_정보[도서명], "")</f>
        <v>#NAME?</v>
      </c>
      <c r="C450" s="1" t="e">
        <f t="array" aca="1" ref="C450" ca="1">_xludf.XLOOKUP(A450, 도서_정보[ID], 도서_정보[작업 페이지], "")</f>
        <v>#NAME?</v>
      </c>
      <c r="D450" s="70" t="b">
        <v>0</v>
      </c>
      <c r="E450" s="70" t="b">
        <v>0</v>
      </c>
      <c r="F450" s="79" t="b">
        <v>0</v>
      </c>
      <c r="G450" s="70" t="b">
        <v>0</v>
      </c>
      <c r="H450" s="70" t="b">
        <v>0</v>
      </c>
      <c r="I450" s="70" t="b">
        <v>0</v>
      </c>
      <c r="J450" s="70" t="b">
        <v>0</v>
      </c>
      <c r="K450" s="79" t="b">
        <v>0</v>
      </c>
      <c r="L450" s="70" t="b">
        <v>0</v>
      </c>
      <c r="M450" s="70" t="b">
        <v>0</v>
      </c>
      <c r="N450" s="1"/>
    </row>
    <row r="451" spans="1:14" ht="22.5" customHeight="1">
      <c r="A451" s="1"/>
      <c r="B451" s="1" t="e">
        <f t="array" aca="1" ref="B451" ca="1">_xludf.XLOOKUP(A451, 도서_정보[ID], 도서_정보[도서명], "")</f>
        <v>#NAME?</v>
      </c>
      <c r="C451" s="1" t="e">
        <f t="array" aca="1" ref="C451" ca="1">_xludf.XLOOKUP(A451, 도서_정보[ID], 도서_정보[작업 페이지], "")</f>
        <v>#NAME?</v>
      </c>
      <c r="D451" s="70" t="b">
        <v>0</v>
      </c>
      <c r="E451" s="70" t="b">
        <v>0</v>
      </c>
      <c r="F451" s="79" t="b">
        <v>0</v>
      </c>
      <c r="G451" s="70" t="b">
        <v>0</v>
      </c>
      <c r="H451" s="70" t="b">
        <v>0</v>
      </c>
      <c r="I451" s="70" t="b">
        <v>0</v>
      </c>
      <c r="J451" s="70" t="b">
        <v>0</v>
      </c>
      <c r="K451" s="79" t="b">
        <v>0</v>
      </c>
      <c r="L451" s="70" t="b">
        <v>0</v>
      </c>
      <c r="M451" s="70" t="b">
        <v>0</v>
      </c>
      <c r="N451" s="1"/>
    </row>
    <row r="452" spans="1:14" ht="22.5" customHeight="1">
      <c r="A452" s="1"/>
      <c r="B452" s="1" t="e">
        <f t="array" aca="1" ref="B452" ca="1">_xludf.XLOOKUP(A452, 도서_정보[ID], 도서_정보[도서명], "")</f>
        <v>#NAME?</v>
      </c>
      <c r="C452" s="1" t="e">
        <f t="array" aca="1" ref="C452" ca="1">_xludf.XLOOKUP(A452, 도서_정보[ID], 도서_정보[작업 페이지], "")</f>
        <v>#NAME?</v>
      </c>
      <c r="D452" s="70" t="b">
        <v>0</v>
      </c>
      <c r="E452" s="70" t="b">
        <v>0</v>
      </c>
      <c r="F452" s="79" t="b">
        <v>0</v>
      </c>
      <c r="G452" s="70" t="b">
        <v>0</v>
      </c>
      <c r="H452" s="70" t="b">
        <v>0</v>
      </c>
      <c r="I452" s="70" t="b">
        <v>0</v>
      </c>
      <c r="J452" s="70" t="b">
        <v>0</v>
      </c>
      <c r="K452" s="79" t="b">
        <v>0</v>
      </c>
      <c r="L452" s="70" t="b">
        <v>0</v>
      </c>
      <c r="M452" s="70" t="b">
        <v>0</v>
      </c>
      <c r="N452" s="1"/>
    </row>
    <row r="453" spans="1:14" ht="22.5" customHeight="1">
      <c r="A453" s="1"/>
      <c r="B453" s="1" t="e">
        <f t="array" aca="1" ref="B453" ca="1">_xludf.XLOOKUP(A453, 도서_정보[ID], 도서_정보[도서명], "")</f>
        <v>#NAME?</v>
      </c>
      <c r="C453" s="1" t="e">
        <f t="array" aca="1" ref="C453" ca="1">_xludf.XLOOKUP(A453, 도서_정보[ID], 도서_정보[작업 페이지], "")</f>
        <v>#NAME?</v>
      </c>
      <c r="D453" s="70" t="b">
        <v>0</v>
      </c>
      <c r="E453" s="70" t="b">
        <v>0</v>
      </c>
      <c r="F453" s="79" t="b">
        <v>0</v>
      </c>
      <c r="G453" s="70" t="b">
        <v>0</v>
      </c>
      <c r="H453" s="70" t="b">
        <v>0</v>
      </c>
      <c r="I453" s="70" t="b">
        <v>0</v>
      </c>
      <c r="J453" s="70" t="b">
        <v>0</v>
      </c>
      <c r="K453" s="79" t="b">
        <v>0</v>
      </c>
      <c r="L453" s="70" t="b">
        <v>0</v>
      </c>
      <c r="M453" s="70" t="b">
        <v>0</v>
      </c>
      <c r="N453" s="1"/>
    </row>
    <row r="454" spans="1:14" ht="22.5" customHeight="1">
      <c r="A454" s="1"/>
      <c r="B454" s="1" t="e">
        <f t="array" aca="1" ref="B454" ca="1">_xludf.XLOOKUP(A454, 도서_정보[ID], 도서_정보[도서명], "")</f>
        <v>#NAME?</v>
      </c>
      <c r="C454" s="1" t="e">
        <f t="array" aca="1" ref="C454" ca="1">_xludf.XLOOKUP(A454, 도서_정보[ID], 도서_정보[작업 페이지], "")</f>
        <v>#NAME?</v>
      </c>
      <c r="D454" s="70" t="b">
        <v>0</v>
      </c>
      <c r="E454" s="70" t="b">
        <v>0</v>
      </c>
      <c r="F454" s="79" t="b">
        <v>0</v>
      </c>
      <c r="G454" s="70" t="b">
        <v>0</v>
      </c>
      <c r="H454" s="70" t="b">
        <v>0</v>
      </c>
      <c r="I454" s="70" t="b">
        <v>0</v>
      </c>
      <c r="J454" s="70" t="b">
        <v>0</v>
      </c>
      <c r="K454" s="79" t="b">
        <v>0</v>
      </c>
      <c r="L454" s="70" t="b">
        <v>0</v>
      </c>
      <c r="M454" s="70" t="b">
        <v>0</v>
      </c>
      <c r="N454" s="1"/>
    </row>
    <row r="455" spans="1:14" ht="22.5" customHeight="1">
      <c r="A455" s="1"/>
      <c r="B455" s="1" t="e">
        <f t="array" aca="1" ref="B455" ca="1">_xludf.XLOOKUP(A455, 도서_정보[ID], 도서_정보[도서명], "")</f>
        <v>#NAME?</v>
      </c>
      <c r="C455" s="1" t="e">
        <f t="array" aca="1" ref="C455" ca="1">_xludf.XLOOKUP(A455, 도서_정보[ID], 도서_정보[작업 페이지], "")</f>
        <v>#NAME?</v>
      </c>
      <c r="D455" s="70" t="b">
        <v>0</v>
      </c>
      <c r="E455" s="70" t="b">
        <v>0</v>
      </c>
      <c r="F455" s="79" t="b">
        <v>0</v>
      </c>
      <c r="G455" s="70" t="b">
        <v>0</v>
      </c>
      <c r="H455" s="70" t="b">
        <v>0</v>
      </c>
      <c r="I455" s="70" t="b">
        <v>0</v>
      </c>
      <c r="J455" s="70" t="b">
        <v>0</v>
      </c>
      <c r="K455" s="79" t="b">
        <v>0</v>
      </c>
      <c r="L455" s="70" t="b">
        <v>0</v>
      </c>
      <c r="M455" s="70" t="b">
        <v>0</v>
      </c>
      <c r="N455" s="1"/>
    </row>
    <row r="456" spans="1:14" ht="22.5" customHeight="1">
      <c r="A456" s="1"/>
      <c r="B456" s="1" t="e">
        <f t="array" aca="1" ref="B456" ca="1">_xludf.XLOOKUP(A456, 도서_정보[ID], 도서_정보[도서명], "")</f>
        <v>#NAME?</v>
      </c>
      <c r="C456" s="1" t="e">
        <f t="array" aca="1" ref="C456" ca="1">_xludf.XLOOKUP(A456, 도서_정보[ID], 도서_정보[작업 페이지], "")</f>
        <v>#NAME?</v>
      </c>
      <c r="D456" s="70" t="b">
        <v>0</v>
      </c>
      <c r="E456" s="70" t="b">
        <v>0</v>
      </c>
      <c r="F456" s="79" t="b">
        <v>0</v>
      </c>
      <c r="G456" s="70" t="b">
        <v>0</v>
      </c>
      <c r="H456" s="70" t="b">
        <v>0</v>
      </c>
      <c r="I456" s="70" t="b">
        <v>0</v>
      </c>
      <c r="J456" s="70" t="b">
        <v>0</v>
      </c>
      <c r="K456" s="79" t="b">
        <v>0</v>
      </c>
      <c r="L456" s="70" t="b">
        <v>0</v>
      </c>
      <c r="M456" s="70" t="b">
        <v>0</v>
      </c>
      <c r="N456" s="1"/>
    </row>
    <row r="457" spans="1:14" ht="22.5" customHeight="1">
      <c r="A457" s="1"/>
      <c r="B457" s="1" t="e">
        <f t="array" aca="1" ref="B457" ca="1">_xludf.XLOOKUP(A457, 도서_정보[ID], 도서_정보[도서명], "")</f>
        <v>#NAME?</v>
      </c>
      <c r="C457" s="1" t="e">
        <f t="array" aca="1" ref="C457" ca="1">_xludf.XLOOKUP(A457, 도서_정보[ID], 도서_정보[작업 페이지], "")</f>
        <v>#NAME?</v>
      </c>
      <c r="D457" s="70" t="b">
        <v>0</v>
      </c>
      <c r="E457" s="70" t="b">
        <v>0</v>
      </c>
      <c r="F457" s="79" t="b">
        <v>0</v>
      </c>
      <c r="G457" s="70" t="b">
        <v>0</v>
      </c>
      <c r="H457" s="70" t="b">
        <v>0</v>
      </c>
      <c r="I457" s="70" t="b">
        <v>0</v>
      </c>
      <c r="J457" s="70" t="b">
        <v>0</v>
      </c>
      <c r="K457" s="79" t="b">
        <v>0</v>
      </c>
      <c r="L457" s="70" t="b">
        <v>0</v>
      </c>
      <c r="M457" s="70" t="b">
        <v>0</v>
      </c>
      <c r="N457" s="1"/>
    </row>
    <row r="458" spans="1:14" ht="22.5" customHeight="1">
      <c r="A458" s="1"/>
      <c r="B458" s="1" t="e">
        <f t="array" aca="1" ref="B458" ca="1">_xludf.XLOOKUP(A458, 도서_정보[ID], 도서_정보[도서명], "")</f>
        <v>#NAME?</v>
      </c>
      <c r="C458" s="1" t="e">
        <f t="array" aca="1" ref="C458" ca="1">_xludf.XLOOKUP(A458, 도서_정보[ID], 도서_정보[작업 페이지], "")</f>
        <v>#NAME?</v>
      </c>
      <c r="D458" s="70" t="b">
        <v>0</v>
      </c>
      <c r="E458" s="70" t="b">
        <v>0</v>
      </c>
      <c r="F458" s="79" t="b">
        <v>0</v>
      </c>
      <c r="G458" s="70" t="b">
        <v>0</v>
      </c>
      <c r="H458" s="70" t="b">
        <v>0</v>
      </c>
      <c r="I458" s="70" t="b">
        <v>0</v>
      </c>
      <c r="J458" s="70" t="b">
        <v>0</v>
      </c>
      <c r="K458" s="79" t="b">
        <v>0</v>
      </c>
      <c r="L458" s="70" t="b">
        <v>0</v>
      </c>
      <c r="M458" s="70" t="b">
        <v>0</v>
      </c>
      <c r="N458" s="1"/>
    </row>
    <row r="459" spans="1:14" ht="22.5" customHeight="1">
      <c r="A459" s="1"/>
      <c r="B459" s="1" t="e">
        <f t="array" aca="1" ref="B459" ca="1">_xludf.XLOOKUP(A459, 도서_정보[ID], 도서_정보[도서명], "")</f>
        <v>#NAME?</v>
      </c>
      <c r="C459" s="1" t="e">
        <f t="array" aca="1" ref="C459" ca="1">_xludf.XLOOKUP(A459, 도서_정보[ID], 도서_정보[작업 페이지], "")</f>
        <v>#NAME?</v>
      </c>
      <c r="D459" s="70" t="b">
        <v>0</v>
      </c>
      <c r="E459" s="70" t="b">
        <v>0</v>
      </c>
      <c r="F459" s="79" t="b">
        <v>0</v>
      </c>
      <c r="G459" s="70" t="b">
        <v>0</v>
      </c>
      <c r="H459" s="70" t="b">
        <v>0</v>
      </c>
      <c r="I459" s="70" t="b">
        <v>0</v>
      </c>
      <c r="J459" s="70" t="b">
        <v>0</v>
      </c>
      <c r="K459" s="79" t="b">
        <v>0</v>
      </c>
      <c r="L459" s="70" t="b">
        <v>0</v>
      </c>
      <c r="M459" s="70" t="b">
        <v>0</v>
      </c>
      <c r="N459" s="1"/>
    </row>
    <row r="460" spans="1:14" ht="22.5" customHeight="1">
      <c r="A460" s="1"/>
      <c r="B460" s="1" t="e">
        <f t="array" aca="1" ref="B460" ca="1">_xludf.XLOOKUP(A460, 도서_정보[ID], 도서_정보[도서명], "")</f>
        <v>#NAME?</v>
      </c>
      <c r="C460" s="1" t="e">
        <f t="array" aca="1" ref="C460" ca="1">_xludf.XLOOKUP(A460, 도서_정보[ID], 도서_정보[작업 페이지], "")</f>
        <v>#NAME?</v>
      </c>
      <c r="D460" s="70" t="b">
        <v>0</v>
      </c>
      <c r="E460" s="70" t="b">
        <v>0</v>
      </c>
      <c r="F460" s="79" t="b">
        <v>0</v>
      </c>
      <c r="G460" s="70" t="b">
        <v>0</v>
      </c>
      <c r="H460" s="70" t="b">
        <v>0</v>
      </c>
      <c r="I460" s="70" t="b">
        <v>0</v>
      </c>
      <c r="J460" s="70" t="b">
        <v>0</v>
      </c>
      <c r="K460" s="79" t="b">
        <v>0</v>
      </c>
      <c r="L460" s="70" t="b">
        <v>0</v>
      </c>
      <c r="M460" s="70" t="b">
        <v>0</v>
      </c>
      <c r="N460" s="1"/>
    </row>
    <row r="461" spans="1:14" ht="22.5" customHeight="1">
      <c r="A461" s="1"/>
      <c r="B461" s="1" t="e">
        <f t="array" aca="1" ref="B461" ca="1">_xludf.XLOOKUP(A461, 도서_정보[ID], 도서_정보[도서명], "")</f>
        <v>#NAME?</v>
      </c>
      <c r="C461" s="1" t="e">
        <f t="array" aca="1" ref="C461" ca="1">_xludf.XLOOKUP(A461, 도서_정보[ID], 도서_정보[작업 페이지], "")</f>
        <v>#NAME?</v>
      </c>
      <c r="D461" s="70" t="b">
        <v>0</v>
      </c>
      <c r="E461" s="70" t="b">
        <v>0</v>
      </c>
      <c r="F461" s="79" t="b">
        <v>0</v>
      </c>
      <c r="G461" s="70" t="b">
        <v>0</v>
      </c>
      <c r="H461" s="70" t="b">
        <v>0</v>
      </c>
      <c r="I461" s="70" t="b">
        <v>0</v>
      </c>
      <c r="J461" s="70" t="b">
        <v>0</v>
      </c>
      <c r="K461" s="79" t="b">
        <v>0</v>
      </c>
      <c r="L461" s="70" t="b">
        <v>0</v>
      </c>
      <c r="M461" s="70" t="b">
        <v>0</v>
      </c>
      <c r="N461" s="1"/>
    </row>
    <row r="462" spans="1:14" ht="22.5" customHeight="1">
      <c r="A462" s="1"/>
      <c r="B462" s="1" t="e">
        <f t="array" aca="1" ref="B462" ca="1">_xludf.XLOOKUP(A462, 도서_정보[ID], 도서_정보[도서명], "")</f>
        <v>#NAME?</v>
      </c>
      <c r="C462" s="1" t="e">
        <f t="array" aca="1" ref="C462" ca="1">_xludf.XLOOKUP(A462, 도서_정보[ID], 도서_정보[작업 페이지], "")</f>
        <v>#NAME?</v>
      </c>
      <c r="D462" s="70" t="b">
        <v>0</v>
      </c>
      <c r="E462" s="70" t="b">
        <v>0</v>
      </c>
      <c r="F462" s="79" t="b">
        <v>0</v>
      </c>
      <c r="G462" s="70" t="b">
        <v>0</v>
      </c>
      <c r="H462" s="70" t="b">
        <v>0</v>
      </c>
      <c r="I462" s="70" t="b">
        <v>0</v>
      </c>
      <c r="J462" s="70" t="b">
        <v>0</v>
      </c>
      <c r="K462" s="79" t="b">
        <v>0</v>
      </c>
      <c r="L462" s="70" t="b">
        <v>0</v>
      </c>
      <c r="M462" s="70" t="b">
        <v>0</v>
      </c>
      <c r="N462" s="1"/>
    </row>
    <row r="463" spans="1:14" ht="22.5" customHeight="1">
      <c r="A463" s="1"/>
      <c r="B463" s="1" t="e">
        <f t="array" aca="1" ref="B463" ca="1">_xludf.XLOOKUP(A463, 도서_정보[ID], 도서_정보[도서명], "")</f>
        <v>#NAME?</v>
      </c>
      <c r="C463" s="1" t="e">
        <f t="array" aca="1" ref="C463" ca="1">_xludf.XLOOKUP(A463, 도서_정보[ID], 도서_정보[작업 페이지], "")</f>
        <v>#NAME?</v>
      </c>
      <c r="D463" s="70" t="b">
        <v>0</v>
      </c>
      <c r="E463" s="70" t="b">
        <v>0</v>
      </c>
      <c r="F463" s="79" t="b">
        <v>0</v>
      </c>
      <c r="G463" s="70" t="b">
        <v>0</v>
      </c>
      <c r="H463" s="70" t="b">
        <v>0</v>
      </c>
      <c r="I463" s="70" t="b">
        <v>0</v>
      </c>
      <c r="J463" s="70" t="b">
        <v>0</v>
      </c>
      <c r="K463" s="79" t="b">
        <v>0</v>
      </c>
      <c r="L463" s="70" t="b">
        <v>0</v>
      </c>
      <c r="M463" s="70" t="b">
        <v>0</v>
      </c>
      <c r="N463" s="1"/>
    </row>
    <row r="464" spans="1:14" ht="22.5" customHeight="1">
      <c r="A464" s="1"/>
      <c r="B464" s="1" t="e">
        <f t="array" aca="1" ref="B464" ca="1">_xludf.XLOOKUP(A464, 도서_정보[ID], 도서_정보[도서명], "")</f>
        <v>#NAME?</v>
      </c>
      <c r="C464" s="1" t="e">
        <f t="array" aca="1" ref="C464" ca="1">_xludf.XLOOKUP(A464, 도서_정보[ID], 도서_정보[작업 페이지], "")</f>
        <v>#NAME?</v>
      </c>
      <c r="D464" s="70" t="b">
        <v>0</v>
      </c>
      <c r="E464" s="70" t="b">
        <v>0</v>
      </c>
      <c r="F464" s="79" t="b">
        <v>0</v>
      </c>
      <c r="G464" s="70" t="b">
        <v>0</v>
      </c>
      <c r="H464" s="70" t="b">
        <v>0</v>
      </c>
      <c r="I464" s="70" t="b">
        <v>0</v>
      </c>
      <c r="J464" s="70" t="b">
        <v>0</v>
      </c>
      <c r="K464" s="79" t="b">
        <v>0</v>
      </c>
      <c r="L464" s="70" t="b">
        <v>0</v>
      </c>
      <c r="M464" s="70" t="b">
        <v>0</v>
      </c>
      <c r="N464" s="1"/>
    </row>
    <row r="465" spans="1:14" ht="22.5" customHeight="1">
      <c r="A465" s="1"/>
      <c r="B465" s="1" t="e">
        <f t="array" aca="1" ref="B465" ca="1">_xludf.XLOOKUP(A465, 도서_정보[ID], 도서_정보[도서명], "")</f>
        <v>#NAME?</v>
      </c>
      <c r="C465" s="1" t="e">
        <f t="array" aca="1" ref="C465" ca="1">_xludf.XLOOKUP(A465, 도서_정보[ID], 도서_정보[작업 페이지], "")</f>
        <v>#NAME?</v>
      </c>
      <c r="D465" s="70" t="b">
        <v>0</v>
      </c>
      <c r="E465" s="70" t="b">
        <v>0</v>
      </c>
      <c r="F465" s="79" t="b">
        <v>0</v>
      </c>
      <c r="G465" s="70" t="b">
        <v>0</v>
      </c>
      <c r="H465" s="70" t="b">
        <v>0</v>
      </c>
      <c r="I465" s="70" t="b">
        <v>0</v>
      </c>
      <c r="J465" s="70" t="b">
        <v>0</v>
      </c>
      <c r="K465" s="79" t="b">
        <v>0</v>
      </c>
      <c r="L465" s="70" t="b">
        <v>0</v>
      </c>
      <c r="M465" s="70" t="b">
        <v>0</v>
      </c>
      <c r="N465" s="1"/>
    </row>
    <row r="466" spans="1:14" ht="22.5" customHeight="1">
      <c r="A466" s="1"/>
      <c r="B466" s="1" t="e">
        <f t="array" aca="1" ref="B466" ca="1">_xludf.XLOOKUP(A466, 도서_정보[ID], 도서_정보[도서명], "")</f>
        <v>#NAME?</v>
      </c>
      <c r="C466" s="1" t="e">
        <f t="array" aca="1" ref="C466" ca="1">_xludf.XLOOKUP(A466, 도서_정보[ID], 도서_정보[작업 페이지], "")</f>
        <v>#NAME?</v>
      </c>
      <c r="D466" s="70" t="b">
        <v>0</v>
      </c>
      <c r="E466" s="70" t="b">
        <v>0</v>
      </c>
      <c r="F466" s="79" t="b">
        <v>0</v>
      </c>
      <c r="G466" s="70" t="b">
        <v>0</v>
      </c>
      <c r="H466" s="70" t="b">
        <v>0</v>
      </c>
      <c r="I466" s="70" t="b">
        <v>0</v>
      </c>
      <c r="J466" s="70" t="b">
        <v>0</v>
      </c>
      <c r="K466" s="79" t="b">
        <v>0</v>
      </c>
      <c r="L466" s="70" t="b">
        <v>0</v>
      </c>
      <c r="M466" s="70" t="b">
        <v>0</v>
      </c>
      <c r="N466" s="1"/>
    </row>
    <row r="467" spans="1:14" ht="22.5" customHeight="1">
      <c r="A467" s="1"/>
      <c r="B467" s="1" t="e">
        <f t="array" aca="1" ref="B467" ca="1">_xludf.XLOOKUP(A467, 도서_정보[ID], 도서_정보[도서명], "")</f>
        <v>#NAME?</v>
      </c>
      <c r="C467" s="1" t="e">
        <f t="array" aca="1" ref="C467" ca="1">_xludf.XLOOKUP(A467, 도서_정보[ID], 도서_정보[작업 페이지], "")</f>
        <v>#NAME?</v>
      </c>
      <c r="D467" s="70" t="b">
        <v>0</v>
      </c>
      <c r="E467" s="70" t="b">
        <v>0</v>
      </c>
      <c r="F467" s="79" t="b">
        <v>0</v>
      </c>
      <c r="G467" s="70" t="b">
        <v>0</v>
      </c>
      <c r="H467" s="70" t="b">
        <v>0</v>
      </c>
      <c r="I467" s="70" t="b">
        <v>0</v>
      </c>
      <c r="J467" s="70" t="b">
        <v>0</v>
      </c>
      <c r="K467" s="79" t="b">
        <v>0</v>
      </c>
      <c r="L467" s="70" t="b">
        <v>0</v>
      </c>
      <c r="M467" s="70" t="b">
        <v>0</v>
      </c>
      <c r="N467" s="1"/>
    </row>
    <row r="468" spans="1:14" ht="22.5" customHeight="1">
      <c r="A468" s="1"/>
      <c r="B468" s="1" t="e">
        <f t="array" aca="1" ref="B468" ca="1">_xludf.XLOOKUP(A468, 도서_정보[ID], 도서_정보[도서명], "")</f>
        <v>#NAME?</v>
      </c>
      <c r="C468" s="1" t="e">
        <f t="array" aca="1" ref="C468" ca="1">_xludf.XLOOKUP(A468, 도서_정보[ID], 도서_정보[작업 페이지], "")</f>
        <v>#NAME?</v>
      </c>
      <c r="D468" s="70" t="b">
        <v>0</v>
      </c>
      <c r="E468" s="70" t="b">
        <v>0</v>
      </c>
      <c r="F468" s="79" t="b">
        <v>0</v>
      </c>
      <c r="G468" s="70" t="b">
        <v>0</v>
      </c>
      <c r="H468" s="70" t="b">
        <v>0</v>
      </c>
      <c r="I468" s="70" t="b">
        <v>0</v>
      </c>
      <c r="J468" s="70" t="b">
        <v>0</v>
      </c>
      <c r="K468" s="79" t="b">
        <v>0</v>
      </c>
      <c r="L468" s="70" t="b">
        <v>0</v>
      </c>
      <c r="M468" s="70" t="b">
        <v>0</v>
      </c>
      <c r="N468" s="1"/>
    </row>
    <row r="469" spans="1:14" ht="22.5" customHeight="1">
      <c r="A469" s="1"/>
      <c r="B469" s="1" t="e">
        <f t="array" aca="1" ref="B469" ca="1">_xludf.XLOOKUP(A469, 도서_정보[ID], 도서_정보[도서명], "")</f>
        <v>#NAME?</v>
      </c>
      <c r="C469" s="1" t="e">
        <f t="array" aca="1" ref="C469" ca="1">_xludf.XLOOKUP(A469, 도서_정보[ID], 도서_정보[작업 페이지], "")</f>
        <v>#NAME?</v>
      </c>
      <c r="D469" s="70" t="b">
        <v>0</v>
      </c>
      <c r="E469" s="70" t="b">
        <v>0</v>
      </c>
      <c r="F469" s="79" t="b">
        <v>0</v>
      </c>
      <c r="G469" s="70" t="b">
        <v>0</v>
      </c>
      <c r="H469" s="70" t="b">
        <v>0</v>
      </c>
      <c r="I469" s="70" t="b">
        <v>0</v>
      </c>
      <c r="J469" s="70" t="b">
        <v>0</v>
      </c>
      <c r="K469" s="79" t="b">
        <v>0</v>
      </c>
      <c r="L469" s="70" t="b">
        <v>0</v>
      </c>
      <c r="M469" s="70" t="b">
        <v>0</v>
      </c>
      <c r="N469" s="1"/>
    </row>
    <row r="470" spans="1:14" ht="22.5" customHeight="1">
      <c r="A470" s="1"/>
      <c r="B470" s="1" t="e">
        <f t="array" aca="1" ref="B470" ca="1">_xludf.XLOOKUP(A470, 도서_정보[ID], 도서_정보[도서명], "")</f>
        <v>#NAME?</v>
      </c>
      <c r="C470" s="1" t="e">
        <f t="array" aca="1" ref="C470" ca="1">_xludf.XLOOKUP(A470, 도서_정보[ID], 도서_정보[작업 페이지], "")</f>
        <v>#NAME?</v>
      </c>
      <c r="D470" s="70" t="b">
        <v>0</v>
      </c>
      <c r="E470" s="70" t="b">
        <v>0</v>
      </c>
      <c r="F470" s="79" t="b">
        <v>0</v>
      </c>
      <c r="G470" s="70" t="b">
        <v>0</v>
      </c>
      <c r="H470" s="70" t="b">
        <v>0</v>
      </c>
      <c r="I470" s="70" t="b">
        <v>0</v>
      </c>
      <c r="J470" s="70" t="b">
        <v>0</v>
      </c>
      <c r="K470" s="79" t="b">
        <v>0</v>
      </c>
      <c r="L470" s="70" t="b">
        <v>0</v>
      </c>
      <c r="M470" s="70" t="b">
        <v>0</v>
      </c>
      <c r="N470" s="1"/>
    </row>
    <row r="471" spans="1:14" ht="22.5" customHeight="1">
      <c r="A471" s="1"/>
      <c r="B471" s="1" t="e">
        <f t="array" aca="1" ref="B471" ca="1">_xludf.XLOOKUP(A471, 도서_정보[ID], 도서_정보[도서명], "")</f>
        <v>#NAME?</v>
      </c>
      <c r="C471" s="1" t="e">
        <f t="array" aca="1" ref="C471" ca="1">_xludf.XLOOKUP(A471, 도서_정보[ID], 도서_정보[작업 페이지], "")</f>
        <v>#NAME?</v>
      </c>
      <c r="D471" s="70" t="b">
        <v>0</v>
      </c>
      <c r="E471" s="70" t="b">
        <v>0</v>
      </c>
      <c r="F471" s="79" t="b">
        <v>0</v>
      </c>
      <c r="G471" s="70" t="b">
        <v>0</v>
      </c>
      <c r="H471" s="70" t="b">
        <v>0</v>
      </c>
      <c r="I471" s="70" t="b">
        <v>0</v>
      </c>
      <c r="J471" s="70" t="b">
        <v>0</v>
      </c>
      <c r="K471" s="79" t="b">
        <v>0</v>
      </c>
      <c r="L471" s="70" t="b">
        <v>0</v>
      </c>
      <c r="M471" s="70" t="b">
        <v>0</v>
      </c>
      <c r="N471" s="1"/>
    </row>
    <row r="472" spans="1:14" ht="22.5" customHeight="1">
      <c r="A472" s="1"/>
      <c r="B472" s="1" t="e">
        <f t="array" aca="1" ref="B472" ca="1">_xludf.XLOOKUP(A472, 도서_정보[ID], 도서_정보[도서명], "")</f>
        <v>#NAME?</v>
      </c>
      <c r="C472" s="1" t="e">
        <f t="array" aca="1" ref="C472" ca="1">_xludf.XLOOKUP(A472, 도서_정보[ID], 도서_정보[작업 페이지], "")</f>
        <v>#NAME?</v>
      </c>
      <c r="D472" s="70" t="b">
        <v>0</v>
      </c>
      <c r="E472" s="70" t="b">
        <v>0</v>
      </c>
      <c r="F472" s="79" t="b">
        <v>0</v>
      </c>
      <c r="G472" s="70" t="b">
        <v>0</v>
      </c>
      <c r="H472" s="70" t="b">
        <v>0</v>
      </c>
      <c r="I472" s="70" t="b">
        <v>0</v>
      </c>
      <c r="J472" s="70" t="b">
        <v>0</v>
      </c>
      <c r="K472" s="79" t="b">
        <v>0</v>
      </c>
      <c r="L472" s="70" t="b">
        <v>0</v>
      </c>
      <c r="M472" s="70" t="b">
        <v>0</v>
      </c>
      <c r="N472" s="1"/>
    </row>
    <row r="473" spans="1:14" ht="22.5" customHeight="1">
      <c r="A473" s="1"/>
      <c r="B473" s="1" t="e">
        <f t="array" aca="1" ref="B473" ca="1">_xludf.XLOOKUP(A473, 도서_정보[ID], 도서_정보[도서명], "")</f>
        <v>#NAME?</v>
      </c>
      <c r="C473" s="1" t="e">
        <f t="array" aca="1" ref="C473" ca="1">_xludf.XLOOKUP(A473, 도서_정보[ID], 도서_정보[작업 페이지], "")</f>
        <v>#NAME?</v>
      </c>
      <c r="D473" s="70" t="b">
        <v>0</v>
      </c>
      <c r="E473" s="70" t="b">
        <v>0</v>
      </c>
      <c r="F473" s="79" t="b">
        <v>0</v>
      </c>
      <c r="G473" s="70" t="b">
        <v>0</v>
      </c>
      <c r="H473" s="70" t="b">
        <v>0</v>
      </c>
      <c r="I473" s="70" t="b">
        <v>0</v>
      </c>
      <c r="J473" s="70" t="b">
        <v>0</v>
      </c>
      <c r="K473" s="79" t="b">
        <v>0</v>
      </c>
      <c r="L473" s="70" t="b">
        <v>0</v>
      </c>
      <c r="M473" s="70" t="b">
        <v>0</v>
      </c>
      <c r="N473" s="1"/>
    </row>
    <row r="474" spans="1:14" ht="22.5" customHeight="1">
      <c r="A474" s="1"/>
      <c r="B474" s="1" t="e">
        <f t="array" aca="1" ref="B474" ca="1">_xludf.XLOOKUP(A474, 도서_정보[ID], 도서_정보[도서명], "")</f>
        <v>#NAME?</v>
      </c>
      <c r="C474" s="1" t="e">
        <f t="array" aca="1" ref="C474" ca="1">_xludf.XLOOKUP(A474, 도서_정보[ID], 도서_정보[작업 페이지], "")</f>
        <v>#NAME?</v>
      </c>
      <c r="D474" s="70" t="b">
        <v>0</v>
      </c>
      <c r="E474" s="70" t="b">
        <v>0</v>
      </c>
      <c r="F474" s="79" t="b">
        <v>0</v>
      </c>
      <c r="G474" s="70" t="b">
        <v>0</v>
      </c>
      <c r="H474" s="70" t="b">
        <v>0</v>
      </c>
      <c r="I474" s="70" t="b">
        <v>0</v>
      </c>
      <c r="J474" s="70" t="b">
        <v>0</v>
      </c>
      <c r="K474" s="79" t="b">
        <v>0</v>
      </c>
      <c r="L474" s="70" t="b">
        <v>0</v>
      </c>
      <c r="M474" s="70" t="b">
        <v>0</v>
      </c>
      <c r="N474" s="1"/>
    </row>
    <row r="475" spans="1:14" ht="22.5" customHeight="1">
      <c r="A475" s="1"/>
      <c r="B475" s="1" t="e">
        <f t="array" aca="1" ref="B475" ca="1">_xludf.XLOOKUP(A475, 도서_정보[ID], 도서_정보[도서명], "")</f>
        <v>#NAME?</v>
      </c>
      <c r="C475" s="1" t="e">
        <f t="array" aca="1" ref="C475" ca="1">_xludf.XLOOKUP(A475, 도서_정보[ID], 도서_정보[작업 페이지], "")</f>
        <v>#NAME?</v>
      </c>
      <c r="D475" s="70" t="b">
        <v>0</v>
      </c>
      <c r="E475" s="70" t="b">
        <v>0</v>
      </c>
      <c r="F475" s="79" t="b">
        <v>0</v>
      </c>
      <c r="G475" s="70" t="b">
        <v>0</v>
      </c>
      <c r="H475" s="70" t="b">
        <v>0</v>
      </c>
      <c r="I475" s="70" t="b">
        <v>0</v>
      </c>
      <c r="J475" s="70" t="b">
        <v>0</v>
      </c>
      <c r="K475" s="79" t="b">
        <v>0</v>
      </c>
      <c r="L475" s="70" t="b">
        <v>0</v>
      </c>
      <c r="M475" s="70" t="b">
        <v>0</v>
      </c>
      <c r="N475" s="1"/>
    </row>
    <row r="476" spans="1:14" ht="22.5" customHeight="1">
      <c r="A476" s="1"/>
      <c r="B476" s="1" t="e">
        <f t="array" aca="1" ref="B476" ca="1">_xludf.XLOOKUP(A476, 도서_정보[ID], 도서_정보[도서명], "")</f>
        <v>#NAME?</v>
      </c>
      <c r="C476" s="1" t="e">
        <f t="array" aca="1" ref="C476" ca="1">_xludf.XLOOKUP(A476, 도서_정보[ID], 도서_정보[작업 페이지], "")</f>
        <v>#NAME?</v>
      </c>
      <c r="D476" s="70" t="b">
        <v>0</v>
      </c>
      <c r="E476" s="70" t="b">
        <v>0</v>
      </c>
      <c r="F476" s="79" t="b">
        <v>0</v>
      </c>
      <c r="G476" s="70" t="b">
        <v>0</v>
      </c>
      <c r="H476" s="70" t="b">
        <v>0</v>
      </c>
      <c r="I476" s="70" t="b">
        <v>0</v>
      </c>
      <c r="J476" s="70" t="b">
        <v>0</v>
      </c>
      <c r="K476" s="79" t="b">
        <v>0</v>
      </c>
      <c r="L476" s="70" t="b">
        <v>0</v>
      </c>
      <c r="M476" s="70" t="b">
        <v>0</v>
      </c>
      <c r="N476" s="1"/>
    </row>
    <row r="477" spans="1:14" ht="22.5" customHeight="1">
      <c r="A477" s="1"/>
      <c r="B477" s="1" t="e">
        <f t="array" aca="1" ref="B477" ca="1">_xludf.XLOOKUP(A477, 도서_정보[ID], 도서_정보[도서명], "")</f>
        <v>#NAME?</v>
      </c>
      <c r="C477" s="1" t="e">
        <f t="array" aca="1" ref="C477" ca="1">_xludf.XLOOKUP(A477, 도서_정보[ID], 도서_정보[작업 페이지], "")</f>
        <v>#NAME?</v>
      </c>
      <c r="D477" s="70" t="b">
        <v>0</v>
      </c>
      <c r="E477" s="70" t="b">
        <v>0</v>
      </c>
      <c r="F477" s="79" t="b">
        <v>0</v>
      </c>
      <c r="G477" s="70" t="b">
        <v>0</v>
      </c>
      <c r="H477" s="70" t="b">
        <v>0</v>
      </c>
      <c r="I477" s="70" t="b">
        <v>0</v>
      </c>
      <c r="J477" s="70" t="b">
        <v>0</v>
      </c>
      <c r="K477" s="79" t="b">
        <v>0</v>
      </c>
      <c r="L477" s="70" t="b">
        <v>0</v>
      </c>
      <c r="M477" s="70" t="b">
        <v>0</v>
      </c>
      <c r="N477" s="1"/>
    </row>
    <row r="478" spans="1:14" ht="22.5" customHeight="1">
      <c r="A478" s="1"/>
      <c r="B478" s="1" t="e">
        <f t="array" aca="1" ref="B478" ca="1">_xludf.XLOOKUP(A478, 도서_정보[ID], 도서_정보[도서명], "")</f>
        <v>#NAME?</v>
      </c>
      <c r="C478" s="1" t="e">
        <f t="array" aca="1" ref="C478" ca="1">_xludf.XLOOKUP(A478, 도서_정보[ID], 도서_정보[작업 페이지], "")</f>
        <v>#NAME?</v>
      </c>
      <c r="D478" s="70" t="b">
        <v>0</v>
      </c>
      <c r="E478" s="70" t="b">
        <v>0</v>
      </c>
      <c r="F478" s="79" t="b">
        <v>0</v>
      </c>
      <c r="G478" s="70" t="b">
        <v>0</v>
      </c>
      <c r="H478" s="70" t="b">
        <v>0</v>
      </c>
      <c r="I478" s="70" t="b">
        <v>0</v>
      </c>
      <c r="J478" s="70" t="b">
        <v>0</v>
      </c>
      <c r="K478" s="79" t="b">
        <v>0</v>
      </c>
      <c r="L478" s="70" t="b">
        <v>0</v>
      </c>
      <c r="M478" s="70" t="b">
        <v>0</v>
      </c>
      <c r="N478" s="1"/>
    </row>
    <row r="479" spans="1:14" ht="22.5" customHeight="1">
      <c r="A479" s="1"/>
      <c r="B479" s="1" t="e">
        <f t="array" aca="1" ref="B479" ca="1">_xludf.XLOOKUP(A479, 도서_정보[ID], 도서_정보[도서명], "")</f>
        <v>#NAME?</v>
      </c>
      <c r="C479" s="1" t="e">
        <f t="array" aca="1" ref="C479" ca="1">_xludf.XLOOKUP(A479, 도서_정보[ID], 도서_정보[작업 페이지], "")</f>
        <v>#NAME?</v>
      </c>
      <c r="D479" s="70" t="b">
        <v>0</v>
      </c>
      <c r="E479" s="70" t="b">
        <v>0</v>
      </c>
      <c r="F479" s="79" t="b">
        <v>0</v>
      </c>
      <c r="G479" s="70" t="b">
        <v>0</v>
      </c>
      <c r="H479" s="70" t="b">
        <v>0</v>
      </c>
      <c r="I479" s="70" t="b">
        <v>0</v>
      </c>
      <c r="J479" s="70" t="b">
        <v>0</v>
      </c>
      <c r="K479" s="79" t="b">
        <v>0</v>
      </c>
      <c r="L479" s="70" t="b">
        <v>0</v>
      </c>
      <c r="M479" s="70" t="b">
        <v>0</v>
      </c>
      <c r="N479" s="1"/>
    </row>
    <row r="480" spans="1:14" ht="22.5" customHeight="1">
      <c r="A480" s="1"/>
      <c r="B480" s="1" t="e">
        <f t="array" aca="1" ref="B480" ca="1">_xludf.XLOOKUP(A480, 도서_정보[ID], 도서_정보[도서명], "")</f>
        <v>#NAME?</v>
      </c>
      <c r="C480" s="1" t="e">
        <f t="array" aca="1" ref="C480" ca="1">_xludf.XLOOKUP(A480, 도서_정보[ID], 도서_정보[작업 페이지], "")</f>
        <v>#NAME?</v>
      </c>
      <c r="D480" s="70" t="b">
        <v>0</v>
      </c>
      <c r="E480" s="70" t="b">
        <v>0</v>
      </c>
      <c r="F480" s="79" t="b">
        <v>0</v>
      </c>
      <c r="G480" s="70" t="b">
        <v>0</v>
      </c>
      <c r="H480" s="70" t="b">
        <v>0</v>
      </c>
      <c r="I480" s="70" t="b">
        <v>0</v>
      </c>
      <c r="J480" s="70" t="b">
        <v>0</v>
      </c>
      <c r="K480" s="79" t="b">
        <v>0</v>
      </c>
      <c r="L480" s="70" t="b">
        <v>0</v>
      </c>
      <c r="M480" s="70" t="b">
        <v>0</v>
      </c>
      <c r="N480" s="1"/>
    </row>
    <row r="481" spans="1:14" ht="22.5" customHeight="1">
      <c r="A481" s="1"/>
      <c r="B481" s="1" t="e">
        <f t="array" aca="1" ref="B481" ca="1">_xludf.XLOOKUP(A481, 도서_정보[ID], 도서_정보[도서명], "")</f>
        <v>#NAME?</v>
      </c>
      <c r="C481" s="1" t="e">
        <f t="array" aca="1" ref="C481" ca="1">_xludf.XLOOKUP(A481, 도서_정보[ID], 도서_정보[작업 페이지], "")</f>
        <v>#NAME?</v>
      </c>
      <c r="D481" s="70" t="b">
        <v>0</v>
      </c>
      <c r="E481" s="70" t="b">
        <v>0</v>
      </c>
      <c r="F481" s="79" t="b">
        <v>0</v>
      </c>
      <c r="G481" s="70" t="b">
        <v>0</v>
      </c>
      <c r="H481" s="70" t="b">
        <v>0</v>
      </c>
      <c r="I481" s="70" t="b">
        <v>0</v>
      </c>
      <c r="J481" s="70" t="b">
        <v>0</v>
      </c>
      <c r="K481" s="79" t="b">
        <v>0</v>
      </c>
      <c r="L481" s="70" t="b">
        <v>0</v>
      </c>
      <c r="M481" s="70" t="b">
        <v>0</v>
      </c>
      <c r="N481" s="1"/>
    </row>
    <row r="482" spans="1:14" ht="22.5" customHeight="1">
      <c r="A482" s="1"/>
      <c r="B482" s="1" t="e">
        <f t="array" aca="1" ref="B482" ca="1">_xludf.XLOOKUP(A482, 도서_정보[ID], 도서_정보[도서명], "")</f>
        <v>#NAME?</v>
      </c>
      <c r="C482" s="1" t="e">
        <f t="array" aca="1" ref="C482" ca="1">_xludf.XLOOKUP(A482, 도서_정보[ID], 도서_정보[작업 페이지], "")</f>
        <v>#NAME?</v>
      </c>
      <c r="D482" s="70" t="b">
        <v>0</v>
      </c>
      <c r="E482" s="70" t="b">
        <v>0</v>
      </c>
      <c r="F482" s="79" t="b">
        <v>0</v>
      </c>
      <c r="G482" s="70" t="b">
        <v>0</v>
      </c>
      <c r="H482" s="70" t="b">
        <v>0</v>
      </c>
      <c r="I482" s="70" t="b">
        <v>0</v>
      </c>
      <c r="J482" s="70" t="b">
        <v>0</v>
      </c>
      <c r="K482" s="79" t="b">
        <v>0</v>
      </c>
      <c r="L482" s="70" t="b">
        <v>0</v>
      </c>
      <c r="M482" s="70" t="b">
        <v>0</v>
      </c>
      <c r="N482" s="1"/>
    </row>
    <row r="483" spans="1:14" ht="22.5" customHeight="1">
      <c r="A483" s="1"/>
      <c r="B483" s="1" t="e">
        <f t="array" aca="1" ref="B483" ca="1">_xludf.XLOOKUP(A483, 도서_정보[ID], 도서_정보[도서명], "")</f>
        <v>#NAME?</v>
      </c>
      <c r="C483" s="1" t="e">
        <f t="array" aca="1" ref="C483" ca="1">_xludf.XLOOKUP(A483, 도서_정보[ID], 도서_정보[작업 페이지], "")</f>
        <v>#NAME?</v>
      </c>
      <c r="D483" s="70" t="b">
        <v>0</v>
      </c>
      <c r="E483" s="70" t="b">
        <v>0</v>
      </c>
      <c r="F483" s="79" t="b">
        <v>0</v>
      </c>
      <c r="G483" s="70" t="b">
        <v>0</v>
      </c>
      <c r="H483" s="70" t="b">
        <v>0</v>
      </c>
      <c r="I483" s="70" t="b">
        <v>0</v>
      </c>
      <c r="J483" s="70" t="b">
        <v>0</v>
      </c>
      <c r="K483" s="79" t="b">
        <v>0</v>
      </c>
      <c r="L483" s="70" t="b">
        <v>0</v>
      </c>
      <c r="M483" s="70" t="b">
        <v>0</v>
      </c>
      <c r="N483" s="1"/>
    </row>
    <row r="484" spans="1:14" ht="22.5" customHeight="1">
      <c r="A484" s="1"/>
      <c r="B484" s="1" t="e">
        <f t="array" aca="1" ref="B484" ca="1">_xludf.XLOOKUP(A484, 도서_정보[ID], 도서_정보[도서명], "")</f>
        <v>#NAME?</v>
      </c>
      <c r="C484" s="1" t="e">
        <f t="array" aca="1" ref="C484" ca="1">_xludf.XLOOKUP(A484, 도서_정보[ID], 도서_정보[작업 페이지], "")</f>
        <v>#NAME?</v>
      </c>
      <c r="D484" s="70" t="b">
        <v>0</v>
      </c>
      <c r="E484" s="70" t="b">
        <v>0</v>
      </c>
      <c r="F484" s="79" t="b">
        <v>0</v>
      </c>
      <c r="G484" s="70" t="b">
        <v>0</v>
      </c>
      <c r="H484" s="70" t="b">
        <v>0</v>
      </c>
      <c r="I484" s="70" t="b">
        <v>0</v>
      </c>
      <c r="J484" s="70" t="b">
        <v>0</v>
      </c>
      <c r="K484" s="79" t="b">
        <v>0</v>
      </c>
      <c r="L484" s="70" t="b">
        <v>0</v>
      </c>
      <c r="M484" s="70" t="b">
        <v>0</v>
      </c>
      <c r="N484" s="1"/>
    </row>
    <row r="485" spans="1:14" ht="22.5" customHeight="1">
      <c r="A485" s="1"/>
      <c r="B485" s="1" t="e">
        <f t="array" aca="1" ref="B485" ca="1">_xludf.XLOOKUP(A485, 도서_정보[ID], 도서_정보[도서명], "")</f>
        <v>#NAME?</v>
      </c>
      <c r="C485" s="1" t="e">
        <f t="array" aca="1" ref="C485" ca="1">_xludf.XLOOKUP(A485, 도서_정보[ID], 도서_정보[작업 페이지], "")</f>
        <v>#NAME?</v>
      </c>
      <c r="D485" s="70" t="b">
        <v>0</v>
      </c>
      <c r="E485" s="70" t="b">
        <v>0</v>
      </c>
      <c r="F485" s="79" t="b">
        <v>0</v>
      </c>
      <c r="G485" s="70" t="b">
        <v>0</v>
      </c>
      <c r="H485" s="70" t="b">
        <v>0</v>
      </c>
      <c r="I485" s="70" t="b">
        <v>0</v>
      </c>
      <c r="J485" s="70" t="b">
        <v>0</v>
      </c>
      <c r="K485" s="79" t="b">
        <v>0</v>
      </c>
      <c r="L485" s="70" t="b">
        <v>0</v>
      </c>
      <c r="M485" s="70" t="b">
        <v>0</v>
      </c>
      <c r="N485" s="1"/>
    </row>
    <row r="486" spans="1:14" ht="22.5" customHeight="1">
      <c r="A486" s="1"/>
      <c r="B486" s="1" t="e">
        <f t="array" aca="1" ref="B486" ca="1">_xludf.XLOOKUP(A486, 도서_정보[ID], 도서_정보[도서명], "")</f>
        <v>#NAME?</v>
      </c>
      <c r="C486" s="1" t="e">
        <f t="array" aca="1" ref="C486" ca="1">_xludf.XLOOKUP(A486, 도서_정보[ID], 도서_정보[작업 페이지], "")</f>
        <v>#NAME?</v>
      </c>
      <c r="D486" s="70" t="b">
        <v>0</v>
      </c>
      <c r="E486" s="70" t="b">
        <v>0</v>
      </c>
      <c r="F486" s="79" t="b">
        <v>0</v>
      </c>
      <c r="G486" s="70" t="b">
        <v>0</v>
      </c>
      <c r="H486" s="70" t="b">
        <v>0</v>
      </c>
      <c r="I486" s="70" t="b">
        <v>0</v>
      </c>
      <c r="J486" s="70" t="b">
        <v>0</v>
      </c>
      <c r="K486" s="79" t="b">
        <v>0</v>
      </c>
      <c r="L486" s="70" t="b">
        <v>0</v>
      </c>
      <c r="M486" s="70" t="b">
        <v>0</v>
      </c>
      <c r="N486" s="1"/>
    </row>
    <row r="487" spans="1:14" ht="22.5" customHeight="1">
      <c r="A487" s="1"/>
      <c r="B487" s="1" t="e">
        <f t="array" aca="1" ref="B487" ca="1">_xludf.XLOOKUP(A487, 도서_정보[ID], 도서_정보[도서명], "")</f>
        <v>#NAME?</v>
      </c>
      <c r="C487" s="1" t="e">
        <f t="array" aca="1" ref="C487" ca="1">_xludf.XLOOKUP(A487, 도서_정보[ID], 도서_정보[작업 페이지], "")</f>
        <v>#NAME?</v>
      </c>
      <c r="D487" s="70" t="b">
        <v>0</v>
      </c>
      <c r="E487" s="70" t="b">
        <v>0</v>
      </c>
      <c r="F487" s="79" t="b">
        <v>0</v>
      </c>
      <c r="G487" s="70" t="b">
        <v>0</v>
      </c>
      <c r="H487" s="70" t="b">
        <v>0</v>
      </c>
      <c r="I487" s="70" t="b">
        <v>0</v>
      </c>
      <c r="J487" s="70" t="b">
        <v>0</v>
      </c>
      <c r="K487" s="79" t="b">
        <v>0</v>
      </c>
      <c r="L487" s="70" t="b">
        <v>0</v>
      </c>
      <c r="M487" s="70" t="b">
        <v>0</v>
      </c>
      <c r="N487" s="1"/>
    </row>
    <row r="488" spans="1:14" ht="22.5" customHeight="1">
      <c r="A488" s="1"/>
      <c r="B488" s="1" t="e">
        <f t="array" aca="1" ref="B488" ca="1">_xludf.XLOOKUP(A488, 도서_정보[ID], 도서_정보[도서명], "")</f>
        <v>#NAME?</v>
      </c>
      <c r="C488" s="1" t="e">
        <f t="array" aca="1" ref="C488" ca="1">_xludf.XLOOKUP(A488, 도서_정보[ID], 도서_정보[작업 페이지], "")</f>
        <v>#NAME?</v>
      </c>
      <c r="D488" s="70" t="b">
        <v>0</v>
      </c>
      <c r="E488" s="70" t="b">
        <v>0</v>
      </c>
      <c r="F488" s="79" t="b">
        <v>0</v>
      </c>
      <c r="G488" s="70" t="b">
        <v>0</v>
      </c>
      <c r="H488" s="70" t="b">
        <v>0</v>
      </c>
      <c r="I488" s="70" t="b">
        <v>0</v>
      </c>
      <c r="J488" s="70" t="b">
        <v>0</v>
      </c>
      <c r="K488" s="79" t="b">
        <v>0</v>
      </c>
      <c r="L488" s="70" t="b">
        <v>0</v>
      </c>
      <c r="M488" s="70" t="b">
        <v>0</v>
      </c>
      <c r="N488" s="1"/>
    </row>
    <row r="489" spans="1:14" ht="22.5" customHeight="1">
      <c r="A489" s="1"/>
      <c r="B489" s="1" t="e">
        <f t="array" aca="1" ref="B489" ca="1">_xludf.XLOOKUP(A489, 도서_정보[ID], 도서_정보[도서명], "")</f>
        <v>#NAME?</v>
      </c>
      <c r="C489" s="1" t="e">
        <f t="array" aca="1" ref="C489" ca="1">_xludf.XLOOKUP(A489, 도서_정보[ID], 도서_정보[작업 페이지], "")</f>
        <v>#NAME?</v>
      </c>
      <c r="D489" s="70" t="b">
        <v>0</v>
      </c>
      <c r="E489" s="70" t="b">
        <v>0</v>
      </c>
      <c r="F489" s="79" t="b">
        <v>0</v>
      </c>
      <c r="G489" s="70" t="b">
        <v>0</v>
      </c>
      <c r="H489" s="70" t="b">
        <v>0</v>
      </c>
      <c r="I489" s="70" t="b">
        <v>0</v>
      </c>
      <c r="J489" s="70" t="b">
        <v>0</v>
      </c>
      <c r="K489" s="79" t="b">
        <v>0</v>
      </c>
      <c r="L489" s="70" t="b">
        <v>0</v>
      </c>
      <c r="M489" s="70" t="b">
        <v>0</v>
      </c>
      <c r="N489" s="1"/>
    </row>
    <row r="490" spans="1:14" ht="22.5" customHeight="1">
      <c r="A490" s="1"/>
      <c r="B490" s="1" t="e">
        <f t="array" aca="1" ref="B490" ca="1">_xludf.XLOOKUP(A490, 도서_정보[ID], 도서_정보[도서명], "")</f>
        <v>#NAME?</v>
      </c>
      <c r="C490" s="1" t="e">
        <f t="array" aca="1" ref="C490" ca="1">_xludf.XLOOKUP(A490, 도서_정보[ID], 도서_정보[작업 페이지], "")</f>
        <v>#NAME?</v>
      </c>
      <c r="D490" s="70" t="b">
        <v>0</v>
      </c>
      <c r="E490" s="70" t="b">
        <v>0</v>
      </c>
      <c r="F490" s="79" t="b">
        <v>0</v>
      </c>
      <c r="G490" s="70" t="b">
        <v>0</v>
      </c>
      <c r="H490" s="70" t="b">
        <v>0</v>
      </c>
      <c r="I490" s="70" t="b">
        <v>0</v>
      </c>
      <c r="J490" s="70" t="b">
        <v>0</v>
      </c>
      <c r="K490" s="79" t="b">
        <v>0</v>
      </c>
      <c r="L490" s="70" t="b">
        <v>0</v>
      </c>
      <c r="M490" s="70" t="b">
        <v>0</v>
      </c>
      <c r="N490" s="1"/>
    </row>
    <row r="491" spans="1:14" ht="22.5" customHeight="1">
      <c r="A491" s="1"/>
      <c r="B491" s="1" t="e">
        <f t="array" aca="1" ref="B491" ca="1">_xludf.XLOOKUP(A491, 도서_정보[ID], 도서_정보[도서명], "")</f>
        <v>#NAME?</v>
      </c>
      <c r="C491" s="1" t="e">
        <f t="array" aca="1" ref="C491" ca="1">_xludf.XLOOKUP(A491, 도서_정보[ID], 도서_정보[작업 페이지], "")</f>
        <v>#NAME?</v>
      </c>
      <c r="D491" s="70" t="b">
        <v>0</v>
      </c>
      <c r="E491" s="70" t="b">
        <v>0</v>
      </c>
      <c r="F491" s="79" t="b">
        <v>0</v>
      </c>
      <c r="G491" s="70" t="b">
        <v>0</v>
      </c>
      <c r="H491" s="70" t="b">
        <v>0</v>
      </c>
      <c r="I491" s="70" t="b">
        <v>0</v>
      </c>
      <c r="J491" s="70" t="b">
        <v>0</v>
      </c>
      <c r="K491" s="79" t="b">
        <v>0</v>
      </c>
      <c r="L491" s="70" t="b">
        <v>0</v>
      </c>
      <c r="M491" s="70" t="b">
        <v>0</v>
      </c>
      <c r="N491" s="1"/>
    </row>
    <row r="492" spans="1:14" ht="22.5" customHeight="1">
      <c r="A492" s="1"/>
      <c r="B492" s="1" t="e">
        <f t="array" aca="1" ref="B492" ca="1">_xludf.XLOOKUP(A492, 도서_정보[ID], 도서_정보[도서명], "")</f>
        <v>#NAME?</v>
      </c>
      <c r="C492" s="1" t="e">
        <f t="array" aca="1" ref="C492" ca="1">_xludf.XLOOKUP(A492, 도서_정보[ID], 도서_정보[작업 페이지], "")</f>
        <v>#NAME?</v>
      </c>
      <c r="D492" s="70" t="b">
        <v>0</v>
      </c>
      <c r="E492" s="70" t="b">
        <v>0</v>
      </c>
      <c r="F492" s="79" t="b">
        <v>0</v>
      </c>
      <c r="G492" s="70" t="b">
        <v>0</v>
      </c>
      <c r="H492" s="70" t="b">
        <v>0</v>
      </c>
      <c r="I492" s="70" t="b">
        <v>0</v>
      </c>
      <c r="J492" s="70" t="b">
        <v>0</v>
      </c>
      <c r="K492" s="79" t="b">
        <v>0</v>
      </c>
      <c r="L492" s="70" t="b">
        <v>0</v>
      </c>
      <c r="M492" s="70" t="b">
        <v>0</v>
      </c>
      <c r="N492" s="1"/>
    </row>
    <row r="493" spans="1:14" ht="22.5" customHeight="1">
      <c r="A493" s="1"/>
      <c r="B493" s="1" t="e">
        <f t="array" aca="1" ref="B493" ca="1">_xludf.XLOOKUP(A493, 도서_정보[ID], 도서_정보[도서명], "")</f>
        <v>#NAME?</v>
      </c>
      <c r="C493" s="1" t="e">
        <f t="array" aca="1" ref="C493" ca="1">_xludf.XLOOKUP(A493, 도서_정보[ID], 도서_정보[작업 페이지], "")</f>
        <v>#NAME?</v>
      </c>
      <c r="D493" s="70" t="b">
        <v>0</v>
      </c>
      <c r="E493" s="70" t="b">
        <v>0</v>
      </c>
      <c r="F493" s="79" t="b">
        <v>0</v>
      </c>
      <c r="G493" s="70" t="b">
        <v>0</v>
      </c>
      <c r="H493" s="70" t="b">
        <v>0</v>
      </c>
      <c r="I493" s="70" t="b">
        <v>0</v>
      </c>
      <c r="J493" s="70" t="b">
        <v>0</v>
      </c>
      <c r="K493" s="79" t="b">
        <v>0</v>
      </c>
      <c r="L493" s="70" t="b">
        <v>0</v>
      </c>
      <c r="M493" s="70" t="b">
        <v>0</v>
      </c>
      <c r="N493" s="1"/>
    </row>
    <row r="494" spans="1:14" ht="22.5" customHeight="1">
      <c r="A494" s="1"/>
      <c r="B494" s="1" t="e">
        <f t="array" aca="1" ref="B494" ca="1">_xludf.XLOOKUP(A494, 도서_정보[ID], 도서_정보[도서명], "")</f>
        <v>#NAME?</v>
      </c>
      <c r="C494" s="1" t="e">
        <f t="array" aca="1" ref="C494" ca="1">_xludf.XLOOKUP(A494, 도서_정보[ID], 도서_정보[작업 페이지], "")</f>
        <v>#NAME?</v>
      </c>
      <c r="D494" s="70" t="b">
        <v>0</v>
      </c>
      <c r="E494" s="70" t="b">
        <v>0</v>
      </c>
      <c r="F494" s="79" t="b">
        <v>0</v>
      </c>
      <c r="G494" s="70" t="b">
        <v>0</v>
      </c>
      <c r="H494" s="70" t="b">
        <v>0</v>
      </c>
      <c r="I494" s="70" t="b">
        <v>0</v>
      </c>
      <c r="J494" s="70" t="b">
        <v>0</v>
      </c>
      <c r="K494" s="79" t="b">
        <v>0</v>
      </c>
      <c r="L494" s="70" t="b">
        <v>0</v>
      </c>
      <c r="M494" s="70" t="b">
        <v>0</v>
      </c>
      <c r="N494" s="1"/>
    </row>
    <row r="495" spans="1:14" ht="22.5" customHeight="1">
      <c r="A495" s="1"/>
      <c r="B495" s="1" t="e">
        <f t="array" aca="1" ref="B495" ca="1">_xludf.XLOOKUP(A495, 도서_정보[ID], 도서_정보[도서명], "")</f>
        <v>#NAME?</v>
      </c>
      <c r="C495" s="1" t="e">
        <f t="array" aca="1" ref="C495" ca="1">_xludf.XLOOKUP(A495, 도서_정보[ID], 도서_정보[작업 페이지], "")</f>
        <v>#NAME?</v>
      </c>
      <c r="D495" s="70" t="b">
        <v>0</v>
      </c>
      <c r="E495" s="70" t="b">
        <v>0</v>
      </c>
      <c r="F495" s="79" t="b">
        <v>0</v>
      </c>
      <c r="G495" s="70" t="b">
        <v>0</v>
      </c>
      <c r="H495" s="70" t="b">
        <v>0</v>
      </c>
      <c r="I495" s="70" t="b">
        <v>0</v>
      </c>
      <c r="J495" s="70" t="b">
        <v>0</v>
      </c>
      <c r="K495" s="79" t="b">
        <v>0</v>
      </c>
      <c r="L495" s="70" t="b">
        <v>0</v>
      </c>
      <c r="M495" s="70" t="b">
        <v>0</v>
      </c>
      <c r="N495" s="1"/>
    </row>
    <row r="496" spans="1:14" ht="22.5" customHeight="1">
      <c r="A496" s="1"/>
      <c r="B496" s="1" t="e">
        <f t="array" aca="1" ref="B496" ca="1">_xludf.XLOOKUP(A496, 도서_정보[ID], 도서_정보[도서명], "")</f>
        <v>#NAME?</v>
      </c>
      <c r="C496" s="1" t="e">
        <f t="array" aca="1" ref="C496" ca="1">_xludf.XLOOKUP(A496, 도서_정보[ID], 도서_정보[작업 페이지], "")</f>
        <v>#NAME?</v>
      </c>
      <c r="D496" s="70" t="b">
        <v>0</v>
      </c>
      <c r="E496" s="70" t="b">
        <v>0</v>
      </c>
      <c r="F496" s="79" t="b">
        <v>0</v>
      </c>
      <c r="G496" s="70" t="b">
        <v>0</v>
      </c>
      <c r="H496" s="70" t="b">
        <v>0</v>
      </c>
      <c r="I496" s="70" t="b">
        <v>0</v>
      </c>
      <c r="J496" s="70" t="b">
        <v>0</v>
      </c>
      <c r="K496" s="79" t="b">
        <v>0</v>
      </c>
      <c r="L496" s="70" t="b">
        <v>0</v>
      </c>
      <c r="M496" s="70" t="b">
        <v>0</v>
      </c>
      <c r="N496" s="1"/>
    </row>
    <row r="497" spans="1:14" ht="22.5" customHeight="1">
      <c r="A497" s="1"/>
      <c r="B497" s="1" t="e">
        <f t="array" aca="1" ref="B497" ca="1">_xludf.XLOOKUP(A497, 도서_정보[ID], 도서_정보[도서명], "")</f>
        <v>#NAME?</v>
      </c>
      <c r="C497" s="1" t="e">
        <f t="array" aca="1" ref="C497" ca="1">_xludf.XLOOKUP(A497, 도서_정보[ID], 도서_정보[작업 페이지], "")</f>
        <v>#NAME?</v>
      </c>
      <c r="D497" s="70" t="b">
        <v>0</v>
      </c>
      <c r="E497" s="70" t="b">
        <v>0</v>
      </c>
      <c r="F497" s="79" t="b">
        <v>0</v>
      </c>
      <c r="G497" s="70" t="b">
        <v>0</v>
      </c>
      <c r="H497" s="70" t="b">
        <v>0</v>
      </c>
      <c r="I497" s="70" t="b">
        <v>0</v>
      </c>
      <c r="J497" s="70" t="b">
        <v>0</v>
      </c>
      <c r="K497" s="79" t="b">
        <v>0</v>
      </c>
      <c r="L497" s="70" t="b">
        <v>0</v>
      </c>
      <c r="M497" s="70" t="b">
        <v>0</v>
      </c>
      <c r="N497" s="1"/>
    </row>
    <row r="498" spans="1:14" ht="22.5" customHeight="1">
      <c r="A498" s="1"/>
      <c r="B498" s="1" t="e">
        <f t="array" aca="1" ref="B498" ca="1">_xludf.XLOOKUP(A498, 도서_정보[ID], 도서_정보[도서명], "")</f>
        <v>#NAME?</v>
      </c>
      <c r="C498" s="1" t="e">
        <f t="array" aca="1" ref="C498" ca="1">_xludf.XLOOKUP(A498, 도서_정보[ID], 도서_정보[작업 페이지], "")</f>
        <v>#NAME?</v>
      </c>
      <c r="D498" s="70" t="b">
        <v>0</v>
      </c>
      <c r="E498" s="70" t="b">
        <v>0</v>
      </c>
      <c r="F498" s="79" t="b">
        <v>0</v>
      </c>
      <c r="G498" s="70" t="b">
        <v>0</v>
      </c>
      <c r="H498" s="70" t="b">
        <v>0</v>
      </c>
      <c r="I498" s="70" t="b">
        <v>0</v>
      </c>
      <c r="J498" s="70" t="b">
        <v>0</v>
      </c>
      <c r="K498" s="79" t="b">
        <v>0</v>
      </c>
      <c r="L498" s="70" t="b">
        <v>0</v>
      </c>
      <c r="M498" s="70" t="b">
        <v>0</v>
      </c>
      <c r="N498" s="1"/>
    </row>
    <row r="499" spans="1:14" ht="22.5" customHeight="1">
      <c r="A499" s="1"/>
      <c r="B499" s="1" t="e">
        <f t="array" aca="1" ref="B499" ca="1">_xludf.XLOOKUP(A499, 도서_정보[ID], 도서_정보[도서명], "")</f>
        <v>#NAME?</v>
      </c>
      <c r="C499" s="1" t="e">
        <f t="array" aca="1" ref="C499" ca="1">_xludf.XLOOKUP(A499, 도서_정보[ID], 도서_정보[작업 페이지], "")</f>
        <v>#NAME?</v>
      </c>
      <c r="D499" s="70" t="b">
        <v>0</v>
      </c>
      <c r="E499" s="70" t="b">
        <v>0</v>
      </c>
      <c r="F499" s="79" t="b">
        <v>0</v>
      </c>
      <c r="G499" s="70" t="b">
        <v>0</v>
      </c>
      <c r="H499" s="70" t="b">
        <v>0</v>
      </c>
      <c r="I499" s="70" t="b">
        <v>0</v>
      </c>
      <c r="J499" s="70" t="b">
        <v>0</v>
      </c>
      <c r="K499" s="79" t="b">
        <v>0</v>
      </c>
      <c r="L499" s="70" t="b">
        <v>0</v>
      </c>
      <c r="M499" s="70" t="b">
        <v>0</v>
      </c>
      <c r="N499" s="1"/>
    </row>
    <row r="500" spans="1:14" ht="22.5" customHeight="1">
      <c r="A500" s="1"/>
      <c r="B500" s="1" t="e">
        <f t="array" aca="1" ref="B500" ca="1">_xludf.XLOOKUP(A500, 도서_정보[ID], 도서_정보[도서명], "")</f>
        <v>#NAME?</v>
      </c>
      <c r="C500" s="1" t="e">
        <f t="array" aca="1" ref="C500" ca="1">_xludf.XLOOKUP(A500, 도서_정보[ID], 도서_정보[작업 페이지], "")</f>
        <v>#NAME?</v>
      </c>
      <c r="D500" s="70" t="b">
        <v>0</v>
      </c>
      <c r="E500" s="70" t="b">
        <v>0</v>
      </c>
      <c r="F500" s="79" t="b">
        <v>0</v>
      </c>
      <c r="G500" s="70" t="b">
        <v>0</v>
      </c>
      <c r="H500" s="70" t="b">
        <v>0</v>
      </c>
      <c r="I500" s="70" t="b">
        <v>0</v>
      </c>
      <c r="J500" s="70" t="b">
        <v>0</v>
      </c>
      <c r="K500" s="79" t="b">
        <v>0</v>
      </c>
      <c r="L500" s="70" t="b">
        <v>0</v>
      </c>
      <c r="M500" s="70" t="b">
        <v>0</v>
      </c>
      <c r="N500" s="1"/>
    </row>
    <row r="501" spans="1:14" ht="22.5" customHeight="1">
      <c r="A501" s="1"/>
      <c r="B501" s="1" t="e">
        <f t="array" aca="1" ref="B501" ca="1">_xludf.XLOOKUP(A501, 도서_정보[ID], 도서_정보[도서명], "")</f>
        <v>#NAME?</v>
      </c>
      <c r="C501" s="1" t="e">
        <f t="array" aca="1" ref="C501" ca="1">_xludf.XLOOKUP(A501, 도서_정보[ID], 도서_정보[작업 페이지], "")</f>
        <v>#NAME?</v>
      </c>
      <c r="D501" s="70" t="b">
        <v>0</v>
      </c>
      <c r="E501" s="70" t="b">
        <v>0</v>
      </c>
      <c r="F501" s="79" t="b">
        <v>0</v>
      </c>
      <c r="G501" s="70" t="b">
        <v>0</v>
      </c>
      <c r="H501" s="70" t="b">
        <v>0</v>
      </c>
      <c r="I501" s="70" t="b">
        <v>0</v>
      </c>
      <c r="J501" s="70" t="b">
        <v>0</v>
      </c>
      <c r="K501" s="79" t="b">
        <v>0</v>
      </c>
      <c r="L501" s="70" t="b">
        <v>0</v>
      </c>
      <c r="M501" s="70" t="b">
        <v>0</v>
      </c>
      <c r="N501" s="1"/>
    </row>
    <row r="502" spans="1:14" ht="22.5" customHeight="1">
      <c r="A502" s="1"/>
      <c r="B502" s="1" t="e">
        <f t="array" aca="1" ref="B502" ca="1">_xludf.XLOOKUP(A502, 도서_정보[ID], 도서_정보[도서명], "")</f>
        <v>#NAME?</v>
      </c>
      <c r="C502" s="1" t="e">
        <f t="array" aca="1" ref="C502" ca="1">_xludf.XLOOKUP(A502, 도서_정보[ID], 도서_정보[작업 페이지], "")</f>
        <v>#NAME?</v>
      </c>
      <c r="D502" s="70" t="b">
        <v>0</v>
      </c>
      <c r="E502" s="70" t="b">
        <v>0</v>
      </c>
      <c r="F502" s="79" t="b">
        <v>0</v>
      </c>
      <c r="G502" s="70" t="b">
        <v>0</v>
      </c>
      <c r="H502" s="70" t="b">
        <v>0</v>
      </c>
      <c r="I502" s="70" t="b">
        <v>0</v>
      </c>
      <c r="J502" s="70" t="b">
        <v>0</v>
      </c>
      <c r="K502" s="79" t="b">
        <v>0</v>
      </c>
      <c r="L502" s="70" t="b">
        <v>0</v>
      </c>
      <c r="M502" s="70" t="b">
        <v>0</v>
      </c>
      <c r="N502" s="1"/>
    </row>
    <row r="503" spans="1:14" ht="22.5" customHeight="1">
      <c r="A503" s="1"/>
      <c r="B503" s="1" t="e">
        <f t="array" aca="1" ref="B503" ca="1">_xludf.XLOOKUP(A503, 도서_정보[ID], 도서_정보[도서명], "")</f>
        <v>#NAME?</v>
      </c>
      <c r="C503" s="1" t="e">
        <f t="array" aca="1" ref="C503" ca="1">_xludf.XLOOKUP(A503, 도서_정보[ID], 도서_정보[작업 페이지], "")</f>
        <v>#NAME?</v>
      </c>
      <c r="D503" s="70" t="b">
        <v>0</v>
      </c>
      <c r="E503" s="70" t="b">
        <v>0</v>
      </c>
      <c r="F503" s="79" t="b">
        <v>0</v>
      </c>
      <c r="G503" s="70" t="b">
        <v>0</v>
      </c>
      <c r="H503" s="70" t="b">
        <v>0</v>
      </c>
      <c r="I503" s="70" t="b">
        <v>0</v>
      </c>
      <c r="J503" s="70" t="b">
        <v>0</v>
      </c>
      <c r="K503" s="79" t="b">
        <v>0</v>
      </c>
      <c r="L503" s="70" t="b">
        <v>0</v>
      </c>
      <c r="M503" s="70" t="b">
        <v>0</v>
      </c>
      <c r="N503" s="1"/>
    </row>
    <row r="504" spans="1:14" ht="22.5" customHeight="1">
      <c r="A504" s="1"/>
      <c r="B504" s="1" t="e">
        <f t="array" aca="1" ref="B504" ca="1">_xludf.XLOOKUP(A504, 도서_정보[ID], 도서_정보[도서명], "")</f>
        <v>#NAME?</v>
      </c>
      <c r="C504" s="1" t="e">
        <f t="array" aca="1" ref="C504" ca="1">_xludf.XLOOKUP(A504, 도서_정보[ID], 도서_정보[작업 페이지], "")</f>
        <v>#NAME?</v>
      </c>
      <c r="D504" s="70" t="b">
        <v>0</v>
      </c>
      <c r="E504" s="70" t="b">
        <v>0</v>
      </c>
      <c r="F504" s="79" t="b">
        <v>0</v>
      </c>
      <c r="G504" s="70" t="b">
        <v>0</v>
      </c>
      <c r="H504" s="70" t="b">
        <v>0</v>
      </c>
      <c r="I504" s="70" t="b">
        <v>0</v>
      </c>
      <c r="J504" s="70" t="b">
        <v>0</v>
      </c>
      <c r="K504" s="79" t="b">
        <v>0</v>
      </c>
      <c r="L504" s="70" t="b">
        <v>0</v>
      </c>
      <c r="M504" s="70" t="b">
        <v>0</v>
      </c>
      <c r="N504" s="1"/>
    </row>
    <row r="505" spans="1:14" ht="22.5" customHeight="1">
      <c r="A505" s="1"/>
      <c r="B505" s="1" t="e">
        <f t="array" aca="1" ref="B505" ca="1">_xludf.XLOOKUP(A505, 도서_정보[ID], 도서_정보[도서명], "")</f>
        <v>#NAME?</v>
      </c>
      <c r="C505" s="1" t="e">
        <f t="array" aca="1" ref="C505" ca="1">_xludf.XLOOKUP(A505, 도서_정보[ID], 도서_정보[작업 페이지], "")</f>
        <v>#NAME?</v>
      </c>
      <c r="D505" s="70" t="b">
        <v>0</v>
      </c>
      <c r="E505" s="70" t="b">
        <v>0</v>
      </c>
      <c r="F505" s="79" t="b">
        <v>0</v>
      </c>
      <c r="G505" s="70" t="b">
        <v>0</v>
      </c>
      <c r="H505" s="70" t="b">
        <v>0</v>
      </c>
      <c r="I505" s="70" t="b">
        <v>0</v>
      </c>
      <c r="J505" s="70" t="b">
        <v>0</v>
      </c>
      <c r="K505" s="79" t="b">
        <v>0</v>
      </c>
      <c r="L505" s="70" t="b">
        <v>0</v>
      </c>
      <c r="M505" s="70" t="b">
        <v>0</v>
      </c>
      <c r="N505" s="1"/>
    </row>
    <row r="506" spans="1:14" ht="22.5" customHeight="1">
      <c r="A506" s="1"/>
      <c r="B506" s="1" t="e">
        <f t="array" aca="1" ref="B506" ca="1">_xludf.XLOOKUP(A506, 도서_정보[ID], 도서_정보[도서명], "")</f>
        <v>#NAME?</v>
      </c>
      <c r="C506" s="1" t="e">
        <f t="array" aca="1" ref="C506" ca="1">_xludf.XLOOKUP(A506, 도서_정보[ID], 도서_정보[작업 페이지], "")</f>
        <v>#NAME?</v>
      </c>
      <c r="D506" s="70" t="b">
        <v>0</v>
      </c>
      <c r="E506" s="70" t="b">
        <v>0</v>
      </c>
      <c r="F506" s="79" t="b">
        <v>0</v>
      </c>
      <c r="G506" s="70" t="b">
        <v>0</v>
      </c>
      <c r="H506" s="70" t="b">
        <v>0</v>
      </c>
      <c r="I506" s="70" t="b">
        <v>0</v>
      </c>
      <c r="J506" s="70" t="b">
        <v>0</v>
      </c>
      <c r="K506" s="79" t="b">
        <v>0</v>
      </c>
      <c r="L506" s="70" t="b">
        <v>0</v>
      </c>
      <c r="M506" s="70" t="b">
        <v>0</v>
      </c>
      <c r="N506" s="1"/>
    </row>
    <row r="507" spans="1:14" ht="22.5" customHeight="1">
      <c r="A507" s="1"/>
      <c r="B507" s="1" t="e">
        <f t="array" aca="1" ref="B507" ca="1">_xludf.XLOOKUP(A507, 도서_정보[ID], 도서_정보[도서명], "")</f>
        <v>#NAME?</v>
      </c>
      <c r="C507" s="1" t="e">
        <f t="array" aca="1" ref="C507" ca="1">_xludf.XLOOKUP(A507, 도서_정보[ID], 도서_정보[작업 페이지], "")</f>
        <v>#NAME?</v>
      </c>
      <c r="D507" s="70" t="b">
        <v>0</v>
      </c>
      <c r="E507" s="70" t="b">
        <v>0</v>
      </c>
      <c r="F507" s="79" t="b">
        <v>0</v>
      </c>
      <c r="G507" s="70" t="b">
        <v>0</v>
      </c>
      <c r="H507" s="70" t="b">
        <v>0</v>
      </c>
      <c r="I507" s="70" t="b">
        <v>0</v>
      </c>
      <c r="J507" s="70" t="b">
        <v>0</v>
      </c>
      <c r="K507" s="79" t="b">
        <v>0</v>
      </c>
      <c r="L507" s="70" t="b">
        <v>0</v>
      </c>
      <c r="M507" s="70" t="b">
        <v>0</v>
      </c>
      <c r="N507" s="1"/>
    </row>
    <row r="508" spans="1:14" ht="22.5" customHeight="1">
      <c r="A508" s="1"/>
      <c r="B508" s="1" t="e">
        <f t="array" aca="1" ref="B508" ca="1">_xludf.XLOOKUP(A508, 도서_정보[ID], 도서_정보[도서명], "")</f>
        <v>#NAME?</v>
      </c>
      <c r="C508" s="1" t="e">
        <f t="array" aca="1" ref="C508" ca="1">_xludf.XLOOKUP(A508, 도서_정보[ID], 도서_정보[작업 페이지], "")</f>
        <v>#NAME?</v>
      </c>
      <c r="D508" s="70" t="b">
        <v>0</v>
      </c>
      <c r="E508" s="70" t="b">
        <v>0</v>
      </c>
      <c r="F508" s="79" t="b">
        <v>0</v>
      </c>
      <c r="G508" s="70" t="b">
        <v>0</v>
      </c>
      <c r="H508" s="70" t="b">
        <v>0</v>
      </c>
      <c r="I508" s="70" t="b">
        <v>0</v>
      </c>
      <c r="J508" s="70" t="b">
        <v>0</v>
      </c>
      <c r="K508" s="79" t="b">
        <v>0</v>
      </c>
      <c r="L508" s="70" t="b">
        <v>0</v>
      </c>
      <c r="M508" s="70" t="b">
        <v>0</v>
      </c>
      <c r="N508" s="1"/>
    </row>
    <row r="509" spans="1:14" ht="22.5" customHeight="1">
      <c r="A509" s="1"/>
      <c r="B509" s="1" t="e">
        <f t="array" aca="1" ref="B509" ca="1">_xludf.XLOOKUP(A509, 도서_정보[ID], 도서_정보[도서명], "")</f>
        <v>#NAME?</v>
      </c>
      <c r="C509" s="1" t="e">
        <f t="array" aca="1" ref="C509" ca="1">_xludf.XLOOKUP(A509, 도서_정보[ID], 도서_정보[작업 페이지], "")</f>
        <v>#NAME?</v>
      </c>
      <c r="D509" s="70" t="b">
        <v>0</v>
      </c>
      <c r="E509" s="70" t="b">
        <v>0</v>
      </c>
      <c r="F509" s="79" t="b">
        <v>0</v>
      </c>
      <c r="G509" s="70" t="b">
        <v>0</v>
      </c>
      <c r="H509" s="70" t="b">
        <v>0</v>
      </c>
      <c r="I509" s="70" t="b">
        <v>0</v>
      </c>
      <c r="J509" s="70" t="b">
        <v>0</v>
      </c>
      <c r="K509" s="79" t="b">
        <v>0</v>
      </c>
      <c r="L509" s="70" t="b">
        <v>0</v>
      </c>
      <c r="M509" s="70" t="b">
        <v>0</v>
      </c>
      <c r="N509" s="1"/>
    </row>
    <row r="510" spans="1:14" ht="22.5" customHeight="1">
      <c r="A510" s="1"/>
      <c r="B510" s="1" t="e">
        <f t="array" aca="1" ref="B510" ca="1">_xludf.XLOOKUP(A510, 도서_정보[ID], 도서_정보[도서명], "")</f>
        <v>#NAME?</v>
      </c>
      <c r="C510" s="1" t="e">
        <f t="array" aca="1" ref="C510" ca="1">_xludf.XLOOKUP(A510, 도서_정보[ID], 도서_정보[작업 페이지], "")</f>
        <v>#NAME?</v>
      </c>
      <c r="D510" s="70" t="b">
        <v>0</v>
      </c>
      <c r="E510" s="70" t="b">
        <v>0</v>
      </c>
      <c r="F510" s="79" t="b">
        <v>0</v>
      </c>
      <c r="G510" s="70" t="b">
        <v>0</v>
      </c>
      <c r="H510" s="70" t="b">
        <v>0</v>
      </c>
      <c r="I510" s="70" t="b">
        <v>0</v>
      </c>
      <c r="J510" s="70" t="b">
        <v>0</v>
      </c>
      <c r="K510" s="79" t="b">
        <v>0</v>
      </c>
      <c r="L510" s="70" t="b">
        <v>0</v>
      </c>
      <c r="M510" s="70" t="b">
        <v>0</v>
      </c>
      <c r="N510" s="1"/>
    </row>
    <row r="511" spans="1:14" ht="22.5" customHeight="1">
      <c r="A511" s="1"/>
      <c r="B511" s="1" t="e">
        <f t="array" aca="1" ref="B511" ca="1">_xludf.XLOOKUP(A511, 도서_정보[ID], 도서_정보[도서명], "")</f>
        <v>#NAME?</v>
      </c>
      <c r="C511" s="1" t="e">
        <f t="array" aca="1" ref="C511" ca="1">_xludf.XLOOKUP(A511, 도서_정보[ID], 도서_정보[작업 페이지], "")</f>
        <v>#NAME?</v>
      </c>
      <c r="D511" s="70" t="b">
        <v>0</v>
      </c>
      <c r="E511" s="70" t="b">
        <v>0</v>
      </c>
      <c r="F511" s="79" t="b">
        <v>0</v>
      </c>
      <c r="G511" s="70" t="b">
        <v>0</v>
      </c>
      <c r="H511" s="70" t="b">
        <v>0</v>
      </c>
      <c r="I511" s="70" t="b">
        <v>0</v>
      </c>
      <c r="J511" s="70" t="b">
        <v>0</v>
      </c>
      <c r="K511" s="79" t="b">
        <v>0</v>
      </c>
      <c r="L511" s="70" t="b">
        <v>0</v>
      </c>
      <c r="M511" s="70" t="b">
        <v>0</v>
      </c>
      <c r="N511" s="1"/>
    </row>
    <row r="512" spans="1:14" ht="22.5" customHeight="1">
      <c r="A512" s="1"/>
      <c r="B512" s="1" t="e">
        <f t="array" aca="1" ref="B512" ca="1">_xludf.XLOOKUP(A512, 도서_정보[ID], 도서_정보[도서명], "")</f>
        <v>#NAME?</v>
      </c>
      <c r="C512" s="1" t="e">
        <f t="array" aca="1" ref="C512" ca="1">_xludf.XLOOKUP(A512, 도서_정보[ID], 도서_정보[작업 페이지], "")</f>
        <v>#NAME?</v>
      </c>
      <c r="D512" s="70" t="b">
        <v>0</v>
      </c>
      <c r="E512" s="70" t="b">
        <v>0</v>
      </c>
      <c r="F512" s="79" t="b">
        <v>0</v>
      </c>
      <c r="G512" s="70" t="b">
        <v>0</v>
      </c>
      <c r="H512" s="70" t="b">
        <v>0</v>
      </c>
      <c r="I512" s="70" t="b">
        <v>0</v>
      </c>
      <c r="J512" s="70" t="b">
        <v>0</v>
      </c>
      <c r="K512" s="79" t="b">
        <v>0</v>
      </c>
      <c r="L512" s="70" t="b">
        <v>0</v>
      </c>
      <c r="M512" s="70" t="b">
        <v>0</v>
      </c>
      <c r="N512" s="1"/>
    </row>
    <row r="513" spans="1:14" ht="22.5" customHeight="1">
      <c r="A513" s="1"/>
      <c r="B513" s="1" t="e">
        <f t="array" aca="1" ref="B513" ca="1">_xludf.XLOOKUP(A513, 도서_정보[ID], 도서_정보[도서명], "")</f>
        <v>#NAME?</v>
      </c>
      <c r="C513" s="1" t="e">
        <f t="array" aca="1" ref="C513" ca="1">_xludf.XLOOKUP(A513, 도서_정보[ID], 도서_정보[작업 페이지], "")</f>
        <v>#NAME?</v>
      </c>
      <c r="D513" s="70" t="b">
        <v>0</v>
      </c>
      <c r="E513" s="70" t="b">
        <v>0</v>
      </c>
      <c r="F513" s="79" t="b">
        <v>0</v>
      </c>
      <c r="G513" s="70" t="b">
        <v>0</v>
      </c>
      <c r="H513" s="70" t="b">
        <v>0</v>
      </c>
      <c r="I513" s="70" t="b">
        <v>0</v>
      </c>
      <c r="J513" s="70" t="b">
        <v>0</v>
      </c>
      <c r="K513" s="79" t="b">
        <v>0</v>
      </c>
      <c r="L513" s="70" t="b">
        <v>0</v>
      </c>
      <c r="M513" s="70" t="b">
        <v>0</v>
      </c>
      <c r="N513" s="1"/>
    </row>
    <row r="514" spans="1:14" ht="22.5" customHeight="1">
      <c r="A514" s="1"/>
      <c r="B514" s="1" t="e">
        <f t="array" aca="1" ref="B514" ca="1">_xludf.XLOOKUP(A514, 도서_정보[ID], 도서_정보[도서명], "")</f>
        <v>#NAME?</v>
      </c>
      <c r="C514" s="1" t="e">
        <f t="array" aca="1" ref="C514" ca="1">_xludf.XLOOKUP(A514, 도서_정보[ID], 도서_정보[작업 페이지], "")</f>
        <v>#NAME?</v>
      </c>
      <c r="D514" s="70" t="b">
        <v>0</v>
      </c>
      <c r="E514" s="70" t="b">
        <v>0</v>
      </c>
      <c r="F514" s="79" t="b">
        <v>0</v>
      </c>
      <c r="G514" s="70" t="b">
        <v>0</v>
      </c>
      <c r="H514" s="70" t="b">
        <v>0</v>
      </c>
      <c r="I514" s="70" t="b">
        <v>0</v>
      </c>
      <c r="J514" s="70" t="b">
        <v>0</v>
      </c>
      <c r="K514" s="79" t="b">
        <v>0</v>
      </c>
      <c r="L514" s="70" t="b">
        <v>0</v>
      </c>
      <c r="M514" s="70" t="b">
        <v>0</v>
      </c>
      <c r="N514" s="1"/>
    </row>
    <row r="515" spans="1:14" ht="22.5" customHeight="1">
      <c r="A515" s="1"/>
      <c r="B515" s="1" t="e">
        <f t="array" aca="1" ref="B515" ca="1">_xludf.XLOOKUP(A515, 도서_정보[ID], 도서_정보[도서명], "")</f>
        <v>#NAME?</v>
      </c>
      <c r="C515" s="1" t="e">
        <f t="array" aca="1" ref="C515" ca="1">_xludf.XLOOKUP(A515, 도서_정보[ID], 도서_정보[작업 페이지], "")</f>
        <v>#NAME?</v>
      </c>
      <c r="D515" s="70" t="b">
        <v>0</v>
      </c>
      <c r="E515" s="70" t="b">
        <v>0</v>
      </c>
      <c r="F515" s="79" t="b">
        <v>0</v>
      </c>
      <c r="G515" s="70" t="b">
        <v>0</v>
      </c>
      <c r="H515" s="70" t="b">
        <v>0</v>
      </c>
      <c r="I515" s="70" t="b">
        <v>0</v>
      </c>
      <c r="J515" s="70" t="b">
        <v>0</v>
      </c>
      <c r="K515" s="79" t="b">
        <v>0</v>
      </c>
      <c r="L515" s="70" t="b">
        <v>0</v>
      </c>
      <c r="M515" s="70" t="b">
        <v>0</v>
      </c>
      <c r="N515" s="1"/>
    </row>
    <row r="516" spans="1:14" ht="22.5" customHeight="1">
      <c r="A516" s="1"/>
      <c r="B516" s="1" t="e">
        <f t="array" aca="1" ref="B516" ca="1">_xludf.XLOOKUP(A516, 도서_정보[ID], 도서_정보[도서명], "")</f>
        <v>#NAME?</v>
      </c>
      <c r="C516" s="1" t="e">
        <f t="array" aca="1" ref="C516" ca="1">_xludf.XLOOKUP(A516, 도서_정보[ID], 도서_정보[작업 페이지], "")</f>
        <v>#NAME?</v>
      </c>
      <c r="D516" s="70" t="b">
        <v>0</v>
      </c>
      <c r="E516" s="70" t="b">
        <v>0</v>
      </c>
      <c r="F516" s="79" t="b">
        <v>0</v>
      </c>
      <c r="G516" s="70" t="b">
        <v>0</v>
      </c>
      <c r="H516" s="70" t="b">
        <v>0</v>
      </c>
      <c r="I516" s="70" t="b">
        <v>0</v>
      </c>
      <c r="J516" s="70" t="b">
        <v>0</v>
      </c>
      <c r="K516" s="79" t="b">
        <v>0</v>
      </c>
      <c r="L516" s="70" t="b">
        <v>0</v>
      </c>
      <c r="M516" s="70" t="b">
        <v>0</v>
      </c>
      <c r="N516" s="1"/>
    </row>
    <row r="517" spans="1:14" ht="22.5" customHeight="1">
      <c r="A517" s="1"/>
      <c r="B517" s="1" t="e">
        <f t="array" aca="1" ref="B517" ca="1">_xludf.XLOOKUP(A517, 도서_정보[ID], 도서_정보[도서명], "")</f>
        <v>#NAME?</v>
      </c>
      <c r="C517" s="1" t="e">
        <f t="array" aca="1" ref="C517" ca="1">_xludf.XLOOKUP(A517, 도서_정보[ID], 도서_정보[작업 페이지], "")</f>
        <v>#NAME?</v>
      </c>
      <c r="D517" s="70" t="b">
        <v>0</v>
      </c>
      <c r="E517" s="70" t="b">
        <v>0</v>
      </c>
      <c r="F517" s="79" t="b">
        <v>0</v>
      </c>
      <c r="G517" s="70" t="b">
        <v>0</v>
      </c>
      <c r="H517" s="70" t="b">
        <v>0</v>
      </c>
      <c r="I517" s="70" t="b">
        <v>0</v>
      </c>
      <c r="J517" s="70" t="b">
        <v>0</v>
      </c>
      <c r="K517" s="79" t="b">
        <v>0</v>
      </c>
      <c r="L517" s="70" t="b">
        <v>0</v>
      </c>
      <c r="M517" s="70" t="b">
        <v>0</v>
      </c>
      <c r="N517" s="1"/>
    </row>
    <row r="518" spans="1:14" ht="22.5" customHeight="1">
      <c r="A518" s="1"/>
      <c r="B518" s="1" t="e">
        <f t="array" aca="1" ref="B518" ca="1">_xludf.XLOOKUP(A518, 도서_정보[ID], 도서_정보[도서명], "")</f>
        <v>#NAME?</v>
      </c>
      <c r="C518" s="1" t="e">
        <f t="array" aca="1" ref="C518" ca="1">_xludf.XLOOKUP(A518, 도서_정보[ID], 도서_정보[작업 페이지], "")</f>
        <v>#NAME?</v>
      </c>
      <c r="D518" s="70" t="b">
        <v>0</v>
      </c>
      <c r="E518" s="70" t="b">
        <v>0</v>
      </c>
      <c r="F518" s="79" t="b">
        <v>0</v>
      </c>
      <c r="G518" s="70" t="b">
        <v>0</v>
      </c>
      <c r="H518" s="70" t="b">
        <v>0</v>
      </c>
      <c r="I518" s="70" t="b">
        <v>0</v>
      </c>
      <c r="J518" s="70" t="b">
        <v>0</v>
      </c>
      <c r="K518" s="79" t="b">
        <v>0</v>
      </c>
      <c r="L518" s="70" t="b">
        <v>0</v>
      </c>
      <c r="M518" s="70" t="b">
        <v>0</v>
      </c>
      <c r="N518" s="1"/>
    </row>
    <row r="519" spans="1:14" ht="22.5" customHeight="1">
      <c r="A519" s="1"/>
      <c r="B519" s="1" t="e">
        <f t="array" aca="1" ref="B519" ca="1">_xludf.XLOOKUP(A519, 도서_정보[ID], 도서_정보[도서명], "")</f>
        <v>#NAME?</v>
      </c>
      <c r="C519" s="1" t="e">
        <f t="array" aca="1" ref="C519" ca="1">_xludf.XLOOKUP(A519, 도서_정보[ID], 도서_정보[작업 페이지], "")</f>
        <v>#NAME?</v>
      </c>
      <c r="D519" s="70" t="b">
        <v>0</v>
      </c>
      <c r="E519" s="70" t="b">
        <v>0</v>
      </c>
      <c r="F519" s="79" t="b">
        <v>0</v>
      </c>
      <c r="G519" s="70" t="b">
        <v>0</v>
      </c>
      <c r="H519" s="70" t="b">
        <v>0</v>
      </c>
      <c r="I519" s="70" t="b">
        <v>0</v>
      </c>
      <c r="J519" s="70" t="b">
        <v>0</v>
      </c>
      <c r="K519" s="79" t="b">
        <v>0</v>
      </c>
      <c r="L519" s="70" t="b">
        <v>0</v>
      </c>
      <c r="M519" s="70" t="b">
        <v>0</v>
      </c>
      <c r="N519" s="1"/>
    </row>
    <row r="520" spans="1:14" ht="22.5" customHeight="1">
      <c r="A520" s="1"/>
      <c r="B520" s="1" t="e">
        <f t="array" aca="1" ref="B520" ca="1">_xludf.XLOOKUP(A520, 도서_정보[ID], 도서_정보[도서명], "")</f>
        <v>#NAME?</v>
      </c>
      <c r="C520" s="1" t="e">
        <f t="array" aca="1" ref="C520" ca="1">_xludf.XLOOKUP(A520, 도서_정보[ID], 도서_정보[작업 페이지], "")</f>
        <v>#NAME?</v>
      </c>
      <c r="D520" s="70" t="b">
        <v>0</v>
      </c>
      <c r="E520" s="70" t="b">
        <v>0</v>
      </c>
      <c r="F520" s="79" t="b">
        <v>0</v>
      </c>
      <c r="G520" s="70" t="b">
        <v>0</v>
      </c>
      <c r="H520" s="70" t="b">
        <v>0</v>
      </c>
      <c r="I520" s="70" t="b">
        <v>0</v>
      </c>
      <c r="J520" s="70" t="b">
        <v>0</v>
      </c>
      <c r="K520" s="79" t="b">
        <v>0</v>
      </c>
      <c r="L520" s="70" t="b">
        <v>0</v>
      </c>
      <c r="M520" s="70" t="b">
        <v>0</v>
      </c>
      <c r="N520" s="1"/>
    </row>
    <row r="521" spans="1:14" ht="22.5" customHeight="1">
      <c r="A521" s="1"/>
      <c r="B521" s="1" t="e">
        <f t="array" aca="1" ref="B521" ca="1">_xludf.XLOOKUP(A521, 도서_정보[ID], 도서_정보[도서명], "")</f>
        <v>#NAME?</v>
      </c>
      <c r="C521" s="1" t="e">
        <f t="array" aca="1" ref="C521" ca="1">_xludf.XLOOKUP(A521, 도서_정보[ID], 도서_정보[작업 페이지], "")</f>
        <v>#NAME?</v>
      </c>
      <c r="D521" s="70" t="b">
        <v>0</v>
      </c>
      <c r="E521" s="70" t="b">
        <v>0</v>
      </c>
      <c r="F521" s="79" t="b">
        <v>0</v>
      </c>
      <c r="G521" s="70" t="b">
        <v>0</v>
      </c>
      <c r="H521" s="70" t="b">
        <v>0</v>
      </c>
      <c r="I521" s="70" t="b">
        <v>0</v>
      </c>
      <c r="J521" s="70" t="b">
        <v>0</v>
      </c>
      <c r="K521" s="79" t="b">
        <v>0</v>
      </c>
      <c r="L521" s="70" t="b">
        <v>0</v>
      </c>
      <c r="M521" s="70" t="b">
        <v>0</v>
      </c>
      <c r="N521" s="1"/>
    </row>
    <row r="522" spans="1:14" ht="22.5" customHeight="1">
      <c r="A522" s="1"/>
      <c r="B522" s="1" t="e">
        <f t="array" aca="1" ref="B522" ca="1">_xludf.XLOOKUP(A522, 도서_정보[ID], 도서_정보[도서명], "")</f>
        <v>#NAME?</v>
      </c>
      <c r="C522" s="1" t="e">
        <f t="array" aca="1" ref="C522" ca="1">_xludf.XLOOKUP(A522, 도서_정보[ID], 도서_정보[작업 페이지], "")</f>
        <v>#NAME?</v>
      </c>
      <c r="D522" s="70" t="b">
        <v>0</v>
      </c>
      <c r="E522" s="70" t="b">
        <v>0</v>
      </c>
      <c r="F522" s="79" t="b">
        <v>0</v>
      </c>
      <c r="G522" s="70" t="b">
        <v>0</v>
      </c>
      <c r="H522" s="70" t="b">
        <v>0</v>
      </c>
      <c r="I522" s="70" t="b">
        <v>0</v>
      </c>
      <c r="J522" s="70" t="b">
        <v>0</v>
      </c>
      <c r="K522" s="79" t="b">
        <v>0</v>
      </c>
      <c r="L522" s="70" t="b">
        <v>0</v>
      </c>
      <c r="M522" s="70" t="b">
        <v>0</v>
      </c>
      <c r="N522" s="1"/>
    </row>
    <row r="523" spans="1:14" ht="22.5" customHeight="1">
      <c r="A523" s="1"/>
      <c r="B523" s="1" t="e">
        <f t="array" aca="1" ref="B523" ca="1">_xludf.XLOOKUP(A523, 도서_정보[ID], 도서_정보[도서명], "")</f>
        <v>#NAME?</v>
      </c>
      <c r="C523" s="1" t="e">
        <f t="array" aca="1" ref="C523" ca="1">_xludf.XLOOKUP(A523, 도서_정보[ID], 도서_정보[작업 페이지], "")</f>
        <v>#NAME?</v>
      </c>
      <c r="D523" s="70" t="b">
        <v>0</v>
      </c>
      <c r="E523" s="70" t="b">
        <v>0</v>
      </c>
      <c r="F523" s="79" t="b">
        <v>0</v>
      </c>
      <c r="G523" s="70" t="b">
        <v>0</v>
      </c>
      <c r="H523" s="70" t="b">
        <v>0</v>
      </c>
      <c r="I523" s="70" t="b">
        <v>0</v>
      </c>
      <c r="J523" s="70" t="b">
        <v>0</v>
      </c>
      <c r="K523" s="79" t="b">
        <v>0</v>
      </c>
      <c r="L523" s="70" t="b">
        <v>0</v>
      </c>
      <c r="M523" s="70" t="b">
        <v>0</v>
      </c>
      <c r="N523" s="1"/>
    </row>
    <row r="524" spans="1:14" ht="22.5" customHeight="1">
      <c r="A524" s="1"/>
      <c r="B524" s="1" t="e">
        <f t="array" aca="1" ref="B524" ca="1">_xludf.XLOOKUP(A524, 도서_정보[ID], 도서_정보[도서명], "")</f>
        <v>#NAME?</v>
      </c>
      <c r="C524" s="1" t="e">
        <f t="array" aca="1" ref="C524" ca="1">_xludf.XLOOKUP(A524, 도서_정보[ID], 도서_정보[작업 페이지], "")</f>
        <v>#NAME?</v>
      </c>
      <c r="D524" s="70" t="b">
        <v>0</v>
      </c>
      <c r="E524" s="70" t="b">
        <v>0</v>
      </c>
      <c r="F524" s="79" t="b">
        <v>0</v>
      </c>
      <c r="G524" s="70" t="b">
        <v>0</v>
      </c>
      <c r="H524" s="70" t="b">
        <v>0</v>
      </c>
      <c r="I524" s="70" t="b">
        <v>0</v>
      </c>
      <c r="J524" s="70" t="b">
        <v>0</v>
      </c>
      <c r="K524" s="79" t="b">
        <v>0</v>
      </c>
      <c r="L524" s="70" t="b">
        <v>0</v>
      </c>
      <c r="M524" s="70" t="b">
        <v>0</v>
      </c>
      <c r="N524" s="1"/>
    </row>
    <row r="525" spans="1:14" ht="22.5" customHeight="1">
      <c r="A525" s="1"/>
      <c r="B525" s="1" t="e">
        <f t="array" aca="1" ref="B525" ca="1">_xludf.XLOOKUP(A525, 도서_정보[ID], 도서_정보[도서명], "")</f>
        <v>#NAME?</v>
      </c>
      <c r="C525" s="1" t="e">
        <f t="array" aca="1" ref="C525" ca="1">_xludf.XLOOKUP(A525, 도서_정보[ID], 도서_정보[작업 페이지], "")</f>
        <v>#NAME?</v>
      </c>
      <c r="D525" s="70" t="b">
        <v>0</v>
      </c>
      <c r="E525" s="70" t="b">
        <v>0</v>
      </c>
      <c r="F525" s="79" t="b">
        <v>0</v>
      </c>
      <c r="G525" s="70" t="b">
        <v>0</v>
      </c>
      <c r="H525" s="70" t="b">
        <v>0</v>
      </c>
      <c r="I525" s="70" t="b">
        <v>0</v>
      </c>
      <c r="J525" s="70" t="b">
        <v>0</v>
      </c>
      <c r="K525" s="79" t="b">
        <v>0</v>
      </c>
      <c r="L525" s="70" t="b">
        <v>0</v>
      </c>
      <c r="M525" s="70" t="b">
        <v>0</v>
      </c>
      <c r="N525" s="1"/>
    </row>
    <row r="526" spans="1:14" ht="22.5" customHeight="1">
      <c r="A526" s="1"/>
      <c r="B526" s="1" t="e">
        <f t="array" aca="1" ref="B526" ca="1">_xludf.XLOOKUP(A526, 도서_정보[ID], 도서_정보[도서명], "")</f>
        <v>#NAME?</v>
      </c>
      <c r="C526" s="1" t="e">
        <f t="array" aca="1" ref="C526" ca="1">_xludf.XLOOKUP(A526, 도서_정보[ID], 도서_정보[작업 페이지], "")</f>
        <v>#NAME?</v>
      </c>
      <c r="D526" s="70" t="b">
        <v>0</v>
      </c>
      <c r="E526" s="70" t="b">
        <v>0</v>
      </c>
      <c r="F526" s="79" t="b">
        <v>0</v>
      </c>
      <c r="G526" s="70" t="b">
        <v>0</v>
      </c>
      <c r="H526" s="70" t="b">
        <v>0</v>
      </c>
      <c r="I526" s="70" t="b">
        <v>0</v>
      </c>
      <c r="J526" s="70" t="b">
        <v>0</v>
      </c>
      <c r="K526" s="79" t="b">
        <v>0</v>
      </c>
      <c r="L526" s="70" t="b">
        <v>0</v>
      </c>
      <c r="M526" s="70" t="b">
        <v>0</v>
      </c>
      <c r="N526" s="1"/>
    </row>
    <row r="527" spans="1:14" ht="22.5" customHeight="1">
      <c r="A527" s="1"/>
      <c r="B527" s="1" t="e">
        <f t="array" aca="1" ref="B527" ca="1">_xludf.XLOOKUP(A527, 도서_정보[ID], 도서_정보[도서명], "")</f>
        <v>#NAME?</v>
      </c>
      <c r="C527" s="1" t="e">
        <f t="array" aca="1" ref="C527" ca="1">_xludf.XLOOKUP(A527, 도서_정보[ID], 도서_정보[작업 페이지], "")</f>
        <v>#NAME?</v>
      </c>
      <c r="D527" s="70" t="b">
        <v>0</v>
      </c>
      <c r="E527" s="70" t="b">
        <v>0</v>
      </c>
      <c r="F527" s="79" t="b">
        <v>0</v>
      </c>
      <c r="G527" s="70" t="b">
        <v>0</v>
      </c>
      <c r="H527" s="70" t="b">
        <v>0</v>
      </c>
      <c r="I527" s="70" t="b">
        <v>0</v>
      </c>
      <c r="J527" s="70" t="b">
        <v>0</v>
      </c>
      <c r="K527" s="79" t="b">
        <v>0</v>
      </c>
      <c r="L527" s="70" t="b">
        <v>0</v>
      </c>
      <c r="M527" s="70" t="b">
        <v>0</v>
      </c>
      <c r="N527" s="1"/>
    </row>
    <row r="528" spans="1:14" ht="22.5" customHeight="1">
      <c r="A528" s="1"/>
      <c r="B528" s="1" t="e">
        <f t="array" aca="1" ref="B528" ca="1">_xludf.XLOOKUP(A528, 도서_정보[ID], 도서_정보[도서명], "")</f>
        <v>#NAME?</v>
      </c>
      <c r="C528" s="1" t="e">
        <f t="array" aca="1" ref="C528" ca="1">_xludf.XLOOKUP(A528, 도서_정보[ID], 도서_정보[작업 페이지], "")</f>
        <v>#NAME?</v>
      </c>
      <c r="D528" s="70" t="b">
        <v>0</v>
      </c>
      <c r="E528" s="70" t="b">
        <v>0</v>
      </c>
      <c r="F528" s="79" t="b">
        <v>0</v>
      </c>
      <c r="G528" s="70" t="b">
        <v>0</v>
      </c>
      <c r="H528" s="70" t="b">
        <v>0</v>
      </c>
      <c r="I528" s="70" t="b">
        <v>0</v>
      </c>
      <c r="J528" s="70" t="b">
        <v>0</v>
      </c>
      <c r="K528" s="79" t="b">
        <v>0</v>
      </c>
      <c r="L528" s="70" t="b">
        <v>0</v>
      </c>
      <c r="M528" s="70" t="b">
        <v>0</v>
      </c>
      <c r="N528" s="1"/>
    </row>
    <row r="529" spans="1:14" ht="22.5" customHeight="1">
      <c r="A529" s="1"/>
      <c r="B529" s="1" t="e">
        <f t="array" aca="1" ref="B529" ca="1">_xludf.XLOOKUP(A529, 도서_정보[ID], 도서_정보[도서명], "")</f>
        <v>#NAME?</v>
      </c>
      <c r="C529" s="1" t="e">
        <f t="array" aca="1" ref="C529" ca="1">_xludf.XLOOKUP(A529, 도서_정보[ID], 도서_정보[작업 페이지], "")</f>
        <v>#NAME?</v>
      </c>
      <c r="D529" s="70" t="b">
        <v>0</v>
      </c>
      <c r="E529" s="70" t="b">
        <v>0</v>
      </c>
      <c r="F529" s="79" t="b">
        <v>0</v>
      </c>
      <c r="G529" s="70" t="b">
        <v>0</v>
      </c>
      <c r="H529" s="70" t="b">
        <v>0</v>
      </c>
      <c r="I529" s="70" t="b">
        <v>0</v>
      </c>
      <c r="J529" s="70" t="b">
        <v>0</v>
      </c>
      <c r="K529" s="79" t="b">
        <v>0</v>
      </c>
      <c r="L529" s="70" t="b">
        <v>0</v>
      </c>
      <c r="M529" s="70" t="b">
        <v>0</v>
      </c>
      <c r="N529" s="1"/>
    </row>
    <row r="530" spans="1:14" ht="22.5" customHeight="1">
      <c r="A530" s="1"/>
      <c r="B530" s="1" t="e">
        <f t="array" aca="1" ref="B530" ca="1">_xludf.XLOOKUP(A530, 도서_정보[ID], 도서_정보[도서명], "")</f>
        <v>#NAME?</v>
      </c>
      <c r="C530" s="1" t="e">
        <f t="array" aca="1" ref="C530" ca="1">_xludf.XLOOKUP(A530, 도서_정보[ID], 도서_정보[작업 페이지], "")</f>
        <v>#NAME?</v>
      </c>
      <c r="D530" s="70" t="b">
        <v>0</v>
      </c>
      <c r="E530" s="70" t="b">
        <v>0</v>
      </c>
      <c r="F530" s="79" t="b">
        <v>0</v>
      </c>
      <c r="G530" s="70" t="b">
        <v>0</v>
      </c>
      <c r="H530" s="70" t="b">
        <v>0</v>
      </c>
      <c r="I530" s="70" t="b">
        <v>0</v>
      </c>
      <c r="J530" s="70" t="b">
        <v>0</v>
      </c>
      <c r="K530" s="79" t="b">
        <v>0</v>
      </c>
      <c r="L530" s="70" t="b">
        <v>0</v>
      </c>
      <c r="M530" s="70" t="b">
        <v>0</v>
      </c>
      <c r="N530" s="1"/>
    </row>
    <row r="531" spans="1:14" ht="22.5" customHeight="1">
      <c r="A531" s="1"/>
      <c r="B531" s="1" t="e">
        <f t="array" aca="1" ref="B531" ca="1">_xludf.XLOOKUP(A531, 도서_정보[ID], 도서_정보[도서명], "")</f>
        <v>#NAME?</v>
      </c>
      <c r="C531" s="1" t="e">
        <f t="array" aca="1" ref="C531" ca="1">_xludf.XLOOKUP(A531, 도서_정보[ID], 도서_정보[작업 페이지], "")</f>
        <v>#NAME?</v>
      </c>
      <c r="D531" s="70" t="b">
        <v>0</v>
      </c>
      <c r="E531" s="70" t="b">
        <v>0</v>
      </c>
      <c r="F531" s="79" t="b">
        <v>0</v>
      </c>
      <c r="G531" s="70" t="b">
        <v>0</v>
      </c>
      <c r="H531" s="70" t="b">
        <v>0</v>
      </c>
      <c r="I531" s="70" t="b">
        <v>0</v>
      </c>
      <c r="J531" s="70" t="b">
        <v>0</v>
      </c>
      <c r="K531" s="79" t="b">
        <v>0</v>
      </c>
      <c r="L531" s="70" t="b">
        <v>0</v>
      </c>
      <c r="M531" s="70" t="b">
        <v>0</v>
      </c>
      <c r="N531" s="1"/>
    </row>
    <row r="532" spans="1:14" ht="22.5" customHeight="1">
      <c r="A532" s="1"/>
      <c r="B532" s="1" t="e">
        <f t="array" aca="1" ref="B532" ca="1">_xludf.XLOOKUP(A532, 도서_정보[ID], 도서_정보[도서명], "")</f>
        <v>#NAME?</v>
      </c>
      <c r="C532" s="1" t="e">
        <f t="array" aca="1" ref="C532" ca="1">_xludf.XLOOKUP(A532, 도서_정보[ID], 도서_정보[작업 페이지], "")</f>
        <v>#NAME?</v>
      </c>
      <c r="D532" s="70" t="b">
        <v>0</v>
      </c>
      <c r="E532" s="70" t="b">
        <v>0</v>
      </c>
      <c r="F532" s="79" t="b">
        <v>0</v>
      </c>
      <c r="G532" s="70" t="b">
        <v>0</v>
      </c>
      <c r="H532" s="70" t="b">
        <v>0</v>
      </c>
      <c r="I532" s="70" t="b">
        <v>0</v>
      </c>
      <c r="J532" s="70" t="b">
        <v>0</v>
      </c>
      <c r="K532" s="79" t="b">
        <v>0</v>
      </c>
      <c r="L532" s="70" t="b">
        <v>0</v>
      </c>
      <c r="M532" s="70" t="b">
        <v>0</v>
      </c>
      <c r="N532" s="1"/>
    </row>
    <row r="533" spans="1:14" ht="22.5" customHeight="1">
      <c r="A533" s="1"/>
      <c r="B533" s="1" t="e">
        <f t="array" aca="1" ref="B533" ca="1">_xludf.XLOOKUP(A533, 도서_정보[ID], 도서_정보[도서명], "")</f>
        <v>#NAME?</v>
      </c>
      <c r="C533" s="1" t="e">
        <f t="array" aca="1" ref="C533" ca="1">_xludf.XLOOKUP(A533, 도서_정보[ID], 도서_정보[작업 페이지], "")</f>
        <v>#NAME?</v>
      </c>
      <c r="D533" s="70" t="b">
        <v>0</v>
      </c>
      <c r="E533" s="70" t="b">
        <v>0</v>
      </c>
      <c r="F533" s="79" t="b">
        <v>0</v>
      </c>
      <c r="G533" s="70" t="b">
        <v>0</v>
      </c>
      <c r="H533" s="70" t="b">
        <v>0</v>
      </c>
      <c r="I533" s="70" t="b">
        <v>0</v>
      </c>
      <c r="J533" s="70" t="b">
        <v>0</v>
      </c>
      <c r="K533" s="79" t="b">
        <v>0</v>
      </c>
      <c r="L533" s="70" t="b">
        <v>0</v>
      </c>
      <c r="M533" s="70" t="b">
        <v>0</v>
      </c>
      <c r="N533" s="1"/>
    </row>
    <row r="534" spans="1:14" ht="22.5" customHeight="1">
      <c r="A534" s="1"/>
      <c r="B534" s="1" t="e">
        <f t="array" aca="1" ref="B534" ca="1">_xludf.XLOOKUP(A534, 도서_정보[ID], 도서_정보[도서명], "")</f>
        <v>#NAME?</v>
      </c>
      <c r="C534" s="1" t="e">
        <f t="array" aca="1" ref="C534" ca="1">_xludf.XLOOKUP(A534, 도서_정보[ID], 도서_정보[작업 페이지], "")</f>
        <v>#NAME?</v>
      </c>
      <c r="D534" s="70" t="b">
        <v>0</v>
      </c>
      <c r="E534" s="70" t="b">
        <v>0</v>
      </c>
      <c r="F534" s="79" t="b">
        <v>0</v>
      </c>
      <c r="G534" s="70" t="b">
        <v>0</v>
      </c>
      <c r="H534" s="70" t="b">
        <v>0</v>
      </c>
      <c r="I534" s="70" t="b">
        <v>0</v>
      </c>
      <c r="J534" s="70" t="b">
        <v>0</v>
      </c>
      <c r="K534" s="79" t="b">
        <v>0</v>
      </c>
      <c r="L534" s="70" t="b">
        <v>0</v>
      </c>
      <c r="M534" s="70" t="b">
        <v>0</v>
      </c>
      <c r="N534" s="1"/>
    </row>
    <row r="535" spans="1:14" ht="22.5" customHeight="1">
      <c r="A535" s="1"/>
      <c r="B535" s="1" t="e">
        <f t="array" aca="1" ref="B535" ca="1">_xludf.XLOOKUP(A535, 도서_정보[ID], 도서_정보[도서명], "")</f>
        <v>#NAME?</v>
      </c>
      <c r="C535" s="1" t="e">
        <f t="array" aca="1" ref="C535" ca="1">_xludf.XLOOKUP(A535, 도서_정보[ID], 도서_정보[작업 페이지], "")</f>
        <v>#NAME?</v>
      </c>
      <c r="D535" s="70" t="b">
        <v>0</v>
      </c>
      <c r="E535" s="70" t="b">
        <v>0</v>
      </c>
      <c r="F535" s="79" t="b">
        <v>0</v>
      </c>
      <c r="G535" s="70" t="b">
        <v>0</v>
      </c>
      <c r="H535" s="70" t="b">
        <v>0</v>
      </c>
      <c r="I535" s="70" t="b">
        <v>0</v>
      </c>
      <c r="J535" s="70" t="b">
        <v>0</v>
      </c>
      <c r="K535" s="79" t="b">
        <v>0</v>
      </c>
      <c r="L535" s="70" t="b">
        <v>0</v>
      </c>
      <c r="M535" s="70" t="b">
        <v>0</v>
      </c>
      <c r="N535" s="1"/>
    </row>
    <row r="536" spans="1:14" ht="22.5" customHeight="1">
      <c r="A536" s="1"/>
      <c r="B536" s="1" t="e">
        <f t="array" aca="1" ref="B536" ca="1">_xludf.XLOOKUP(A536, 도서_정보[ID], 도서_정보[도서명], "")</f>
        <v>#NAME?</v>
      </c>
      <c r="C536" s="1" t="e">
        <f t="array" aca="1" ref="C536" ca="1">_xludf.XLOOKUP(A536, 도서_정보[ID], 도서_정보[작업 페이지], "")</f>
        <v>#NAME?</v>
      </c>
      <c r="D536" s="70" t="b">
        <v>0</v>
      </c>
      <c r="E536" s="70" t="b">
        <v>0</v>
      </c>
      <c r="F536" s="79" t="b">
        <v>0</v>
      </c>
      <c r="G536" s="70" t="b">
        <v>0</v>
      </c>
      <c r="H536" s="70" t="b">
        <v>0</v>
      </c>
      <c r="I536" s="70" t="b">
        <v>0</v>
      </c>
      <c r="J536" s="70" t="b">
        <v>0</v>
      </c>
      <c r="K536" s="79" t="b">
        <v>0</v>
      </c>
      <c r="L536" s="70" t="b">
        <v>0</v>
      </c>
      <c r="M536" s="70" t="b">
        <v>0</v>
      </c>
      <c r="N536" s="1"/>
    </row>
    <row r="537" spans="1:14" ht="22.5" customHeight="1">
      <c r="A537" s="1"/>
      <c r="B537" s="1" t="e">
        <f t="array" aca="1" ref="B537" ca="1">_xludf.XLOOKUP(A537, 도서_정보[ID], 도서_정보[도서명], "")</f>
        <v>#NAME?</v>
      </c>
      <c r="C537" s="1" t="e">
        <f t="array" aca="1" ref="C537" ca="1">_xludf.XLOOKUP(A537, 도서_정보[ID], 도서_정보[작업 페이지], "")</f>
        <v>#NAME?</v>
      </c>
      <c r="D537" s="70" t="b">
        <v>0</v>
      </c>
      <c r="E537" s="70" t="b">
        <v>0</v>
      </c>
      <c r="F537" s="79" t="b">
        <v>0</v>
      </c>
      <c r="G537" s="70" t="b">
        <v>0</v>
      </c>
      <c r="H537" s="70" t="b">
        <v>0</v>
      </c>
      <c r="I537" s="70" t="b">
        <v>0</v>
      </c>
      <c r="J537" s="70" t="b">
        <v>0</v>
      </c>
      <c r="K537" s="79" t="b">
        <v>0</v>
      </c>
      <c r="L537" s="70" t="b">
        <v>0</v>
      </c>
      <c r="M537" s="70" t="b">
        <v>0</v>
      </c>
      <c r="N537" s="1"/>
    </row>
    <row r="538" spans="1:14" ht="22.5" customHeight="1">
      <c r="A538" s="1"/>
      <c r="B538" s="1" t="e">
        <f t="array" aca="1" ref="B538" ca="1">_xludf.XLOOKUP(A538, 도서_정보[ID], 도서_정보[도서명], "")</f>
        <v>#NAME?</v>
      </c>
      <c r="C538" s="1" t="e">
        <f t="array" aca="1" ref="C538" ca="1">_xludf.XLOOKUP(A538, 도서_정보[ID], 도서_정보[작업 페이지], "")</f>
        <v>#NAME?</v>
      </c>
      <c r="D538" s="70" t="b">
        <v>0</v>
      </c>
      <c r="E538" s="70" t="b">
        <v>0</v>
      </c>
      <c r="F538" s="79" t="b">
        <v>0</v>
      </c>
      <c r="G538" s="70" t="b">
        <v>0</v>
      </c>
      <c r="H538" s="70" t="b">
        <v>0</v>
      </c>
      <c r="I538" s="70" t="b">
        <v>0</v>
      </c>
      <c r="J538" s="70" t="b">
        <v>0</v>
      </c>
      <c r="K538" s="79" t="b">
        <v>0</v>
      </c>
      <c r="L538" s="70" t="b">
        <v>0</v>
      </c>
      <c r="M538" s="70" t="b">
        <v>0</v>
      </c>
      <c r="N538" s="1"/>
    </row>
    <row r="539" spans="1:14" ht="22.5" customHeight="1">
      <c r="A539" s="1"/>
      <c r="B539" s="1" t="e">
        <f t="array" aca="1" ref="B539" ca="1">_xludf.XLOOKUP(A539, 도서_정보[ID], 도서_정보[도서명], "")</f>
        <v>#NAME?</v>
      </c>
      <c r="C539" s="1" t="e">
        <f t="array" aca="1" ref="C539" ca="1">_xludf.XLOOKUP(A539, 도서_정보[ID], 도서_정보[작업 페이지], "")</f>
        <v>#NAME?</v>
      </c>
      <c r="D539" s="70" t="b">
        <v>0</v>
      </c>
      <c r="E539" s="70" t="b">
        <v>0</v>
      </c>
      <c r="F539" s="79" t="b">
        <v>0</v>
      </c>
      <c r="G539" s="70" t="b">
        <v>0</v>
      </c>
      <c r="H539" s="70" t="b">
        <v>0</v>
      </c>
      <c r="I539" s="70" t="b">
        <v>0</v>
      </c>
      <c r="J539" s="70" t="b">
        <v>0</v>
      </c>
      <c r="K539" s="79" t="b">
        <v>0</v>
      </c>
      <c r="L539" s="70" t="b">
        <v>0</v>
      </c>
      <c r="M539" s="70" t="b">
        <v>0</v>
      </c>
      <c r="N539" s="1"/>
    </row>
    <row r="540" spans="1:14" ht="22.5" customHeight="1">
      <c r="A540" s="1"/>
      <c r="B540" s="1" t="e">
        <f t="array" aca="1" ref="B540" ca="1">_xludf.XLOOKUP(A540, 도서_정보[ID], 도서_정보[도서명], "")</f>
        <v>#NAME?</v>
      </c>
      <c r="C540" s="1" t="e">
        <f t="array" aca="1" ref="C540" ca="1">_xludf.XLOOKUP(A540, 도서_정보[ID], 도서_정보[작업 페이지], "")</f>
        <v>#NAME?</v>
      </c>
      <c r="D540" s="70" t="b">
        <v>0</v>
      </c>
      <c r="E540" s="70" t="b">
        <v>0</v>
      </c>
      <c r="F540" s="79" t="b">
        <v>0</v>
      </c>
      <c r="G540" s="70" t="b">
        <v>0</v>
      </c>
      <c r="H540" s="70" t="b">
        <v>0</v>
      </c>
      <c r="I540" s="70" t="b">
        <v>0</v>
      </c>
      <c r="J540" s="70" t="b">
        <v>0</v>
      </c>
      <c r="K540" s="79" t="b">
        <v>0</v>
      </c>
      <c r="L540" s="70" t="b">
        <v>0</v>
      </c>
      <c r="M540" s="70" t="b">
        <v>0</v>
      </c>
      <c r="N540" s="1"/>
    </row>
    <row r="541" spans="1:14" ht="22.5" customHeight="1">
      <c r="A541" s="1"/>
      <c r="B541" s="1" t="e">
        <f t="array" aca="1" ref="B541" ca="1">_xludf.XLOOKUP(A541, 도서_정보[ID], 도서_정보[도서명], "")</f>
        <v>#NAME?</v>
      </c>
      <c r="C541" s="1" t="e">
        <f t="array" aca="1" ref="C541" ca="1">_xludf.XLOOKUP(A541, 도서_정보[ID], 도서_정보[작업 페이지], "")</f>
        <v>#NAME?</v>
      </c>
      <c r="D541" s="70" t="b">
        <v>0</v>
      </c>
      <c r="E541" s="70" t="b">
        <v>0</v>
      </c>
      <c r="F541" s="79" t="b">
        <v>0</v>
      </c>
      <c r="G541" s="70" t="b">
        <v>0</v>
      </c>
      <c r="H541" s="70" t="b">
        <v>0</v>
      </c>
      <c r="I541" s="70" t="b">
        <v>0</v>
      </c>
      <c r="J541" s="70" t="b">
        <v>0</v>
      </c>
      <c r="K541" s="79" t="b">
        <v>0</v>
      </c>
      <c r="L541" s="70" t="b">
        <v>0</v>
      </c>
      <c r="M541" s="70" t="b">
        <v>0</v>
      </c>
      <c r="N541" s="1"/>
    </row>
    <row r="542" spans="1:14" ht="22.5" customHeight="1">
      <c r="A542" s="1"/>
      <c r="B542" s="1" t="e">
        <f t="array" aca="1" ref="B542" ca="1">_xludf.XLOOKUP(A542, 도서_정보[ID], 도서_정보[도서명], "")</f>
        <v>#NAME?</v>
      </c>
      <c r="C542" s="1" t="e">
        <f t="array" aca="1" ref="C542" ca="1">_xludf.XLOOKUP(A542, 도서_정보[ID], 도서_정보[작업 페이지], "")</f>
        <v>#NAME?</v>
      </c>
      <c r="D542" s="70" t="b">
        <v>0</v>
      </c>
      <c r="E542" s="70" t="b">
        <v>0</v>
      </c>
      <c r="F542" s="79" t="b">
        <v>0</v>
      </c>
      <c r="G542" s="70" t="b">
        <v>0</v>
      </c>
      <c r="H542" s="70" t="b">
        <v>0</v>
      </c>
      <c r="I542" s="70" t="b">
        <v>0</v>
      </c>
      <c r="J542" s="70" t="b">
        <v>0</v>
      </c>
      <c r="K542" s="79" t="b">
        <v>0</v>
      </c>
      <c r="L542" s="70" t="b">
        <v>0</v>
      </c>
      <c r="M542" s="70" t="b">
        <v>0</v>
      </c>
      <c r="N542" s="1"/>
    </row>
    <row r="543" spans="1:14" ht="22.5" customHeight="1">
      <c r="A543" s="1"/>
      <c r="B543" s="1" t="e">
        <f t="array" aca="1" ref="B543" ca="1">_xludf.XLOOKUP(A543, 도서_정보[ID], 도서_정보[도서명], "")</f>
        <v>#NAME?</v>
      </c>
      <c r="C543" s="1" t="e">
        <f t="array" aca="1" ref="C543" ca="1">_xludf.XLOOKUP(A543, 도서_정보[ID], 도서_정보[작업 페이지], "")</f>
        <v>#NAME?</v>
      </c>
      <c r="D543" s="70" t="b">
        <v>0</v>
      </c>
      <c r="E543" s="70" t="b">
        <v>0</v>
      </c>
      <c r="F543" s="79" t="b">
        <v>0</v>
      </c>
      <c r="G543" s="70" t="b">
        <v>0</v>
      </c>
      <c r="H543" s="70" t="b">
        <v>0</v>
      </c>
      <c r="I543" s="70" t="b">
        <v>0</v>
      </c>
      <c r="J543" s="70" t="b">
        <v>0</v>
      </c>
      <c r="K543" s="79" t="b">
        <v>0</v>
      </c>
      <c r="L543" s="70" t="b">
        <v>0</v>
      </c>
      <c r="M543" s="70" t="b">
        <v>0</v>
      </c>
      <c r="N543" s="1"/>
    </row>
    <row r="544" spans="1:14" ht="22.5" customHeight="1">
      <c r="A544" s="1"/>
      <c r="B544" s="1" t="e">
        <f t="array" aca="1" ref="B544" ca="1">_xludf.XLOOKUP(A544, 도서_정보[ID], 도서_정보[도서명], "")</f>
        <v>#NAME?</v>
      </c>
      <c r="C544" s="1" t="e">
        <f t="array" aca="1" ref="C544" ca="1">_xludf.XLOOKUP(A544, 도서_정보[ID], 도서_정보[작업 페이지], "")</f>
        <v>#NAME?</v>
      </c>
      <c r="D544" s="70" t="b">
        <v>0</v>
      </c>
      <c r="E544" s="70" t="b">
        <v>0</v>
      </c>
      <c r="F544" s="79" t="b">
        <v>0</v>
      </c>
      <c r="G544" s="70" t="b">
        <v>0</v>
      </c>
      <c r="H544" s="70" t="b">
        <v>0</v>
      </c>
      <c r="I544" s="70" t="b">
        <v>0</v>
      </c>
      <c r="J544" s="70" t="b">
        <v>0</v>
      </c>
      <c r="K544" s="79" t="b">
        <v>0</v>
      </c>
      <c r="L544" s="70" t="b">
        <v>0</v>
      </c>
      <c r="M544" s="70" t="b">
        <v>0</v>
      </c>
      <c r="N544" s="1"/>
    </row>
    <row r="545" spans="1:14" ht="22.5" customHeight="1">
      <c r="A545" s="1"/>
      <c r="B545" s="1" t="e">
        <f t="array" aca="1" ref="B545" ca="1">_xludf.XLOOKUP(A545, 도서_정보[ID], 도서_정보[도서명], "")</f>
        <v>#NAME?</v>
      </c>
      <c r="C545" s="1" t="e">
        <f t="array" aca="1" ref="C545" ca="1">_xludf.XLOOKUP(A545, 도서_정보[ID], 도서_정보[작업 페이지], "")</f>
        <v>#NAME?</v>
      </c>
      <c r="D545" s="70" t="b">
        <v>0</v>
      </c>
      <c r="E545" s="70" t="b">
        <v>0</v>
      </c>
      <c r="F545" s="79" t="b">
        <v>0</v>
      </c>
      <c r="G545" s="70" t="b">
        <v>0</v>
      </c>
      <c r="H545" s="70" t="b">
        <v>0</v>
      </c>
      <c r="I545" s="70" t="b">
        <v>0</v>
      </c>
      <c r="J545" s="70" t="b">
        <v>0</v>
      </c>
      <c r="K545" s="79" t="b">
        <v>0</v>
      </c>
      <c r="L545" s="70" t="b">
        <v>0</v>
      </c>
      <c r="M545" s="70" t="b">
        <v>0</v>
      </c>
      <c r="N545" s="1"/>
    </row>
    <row r="546" spans="1:14" ht="22.5" customHeight="1">
      <c r="A546" s="1"/>
      <c r="B546" s="1" t="e">
        <f t="array" aca="1" ref="B546" ca="1">_xludf.XLOOKUP(A546, 도서_정보[ID], 도서_정보[도서명], "")</f>
        <v>#NAME?</v>
      </c>
      <c r="C546" s="1" t="e">
        <f t="array" aca="1" ref="C546" ca="1">_xludf.XLOOKUP(A546, 도서_정보[ID], 도서_정보[작업 페이지], "")</f>
        <v>#NAME?</v>
      </c>
      <c r="D546" s="70" t="b">
        <v>0</v>
      </c>
      <c r="E546" s="70" t="b">
        <v>0</v>
      </c>
      <c r="F546" s="79" t="b">
        <v>0</v>
      </c>
      <c r="G546" s="70" t="b">
        <v>0</v>
      </c>
      <c r="H546" s="70" t="b">
        <v>0</v>
      </c>
      <c r="I546" s="70" t="b">
        <v>0</v>
      </c>
      <c r="J546" s="70" t="b">
        <v>0</v>
      </c>
      <c r="K546" s="79" t="b">
        <v>0</v>
      </c>
      <c r="L546" s="70" t="b">
        <v>0</v>
      </c>
      <c r="M546" s="70" t="b">
        <v>0</v>
      </c>
      <c r="N546" s="1"/>
    </row>
    <row r="547" spans="1:14" ht="22.5" customHeight="1">
      <c r="A547" s="1"/>
      <c r="B547" s="1" t="e">
        <f t="array" aca="1" ref="B547" ca="1">_xludf.XLOOKUP(A547, 도서_정보[ID], 도서_정보[도서명], "")</f>
        <v>#NAME?</v>
      </c>
      <c r="C547" s="1" t="e">
        <f t="array" aca="1" ref="C547" ca="1">_xludf.XLOOKUP(A547, 도서_정보[ID], 도서_정보[작업 페이지], "")</f>
        <v>#NAME?</v>
      </c>
      <c r="D547" s="70" t="b">
        <v>0</v>
      </c>
      <c r="E547" s="70" t="b">
        <v>0</v>
      </c>
      <c r="F547" s="79" t="b">
        <v>0</v>
      </c>
      <c r="G547" s="70" t="b">
        <v>0</v>
      </c>
      <c r="H547" s="70" t="b">
        <v>0</v>
      </c>
      <c r="I547" s="70" t="b">
        <v>0</v>
      </c>
      <c r="J547" s="70" t="b">
        <v>0</v>
      </c>
      <c r="K547" s="79" t="b">
        <v>0</v>
      </c>
      <c r="L547" s="70" t="b">
        <v>0</v>
      </c>
      <c r="M547" s="70" t="b">
        <v>0</v>
      </c>
      <c r="N547" s="1"/>
    </row>
    <row r="548" spans="1:14" ht="22.5" customHeight="1">
      <c r="A548" s="1"/>
      <c r="B548" s="1" t="e">
        <f t="array" aca="1" ref="B548" ca="1">_xludf.XLOOKUP(A548, 도서_정보[ID], 도서_정보[도서명], "")</f>
        <v>#NAME?</v>
      </c>
      <c r="C548" s="1" t="e">
        <f t="array" aca="1" ref="C548" ca="1">_xludf.XLOOKUP(A548, 도서_정보[ID], 도서_정보[작업 페이지], "")</f>
        <v>#NAME?</v>
      </c>
      <c r="D548" s="70" t="b">
        <v>0</v>
      </c>
      <c r="E548" s="70" t="b">
        <v>0</v>
      </c>
      <c r="F548" s="79" t="b">
        <v>0</v>
      </c>
      <c r="G548" s="70" t="b">
        <v>0</v>
      </c>
      <c r="H548" s="70" t="b">
        <v>0</v>
      </c>
      <c r="I548" s="70" t="b">
        <v>0</v>
      </c>
      <c r="J548" s="70" t="b">
        <v>0</v>
      </c>
      <c r="K548" s="79" t="b">
        <v>0</v>
      </c>
      <c r="L548" s="70" t="b">
        <v>0</v>
      </c>
      <c r="M548" s="70" t="b">
        <v>0</v>
      </c>
      <c r="N548" s="1"/>
    </row>
    <row r="549" spans="1:14" ht="22.5" customHeight="1">
      <c r="A549" s="1"/>
      <c r="B549" s="1" t="e">
        <f t="array" aca="1" ref="B549" ca="1">_xludf.XLOOKUP(A549, 도서_정보[ID], 도서_정보[도서명], "")</f>
        <v>#NAME?</v>
      </c>
      <c r="C549" s="1" t="e">
        <f t="array" aca="1" ref="C549" ca="1">_xludf.XLOOKUP(A549, 도서_정보[ID], 도서_정보[작업 페이지], "")</f>
        <v>#NAME?</v>
      </c>
      <c r="D549" s="70" t="b">
        <v>0</v>
      </c>
      <c r="E549" s="70" t="b">
        <v>0</v>
      </c>
      <c r="F549" s="79" t="b">
        <v>0</v>
      </c>
      <c r="G549" s="70" t="b">
        <v>0</v>
      </c>
      <c r="H549" s="70" t="b">
        <v>0</v>
      </c>
      <c r="I549" s="70" t="b">
        <v>0</v>
      </c>
      <c r="J549" s="70" t="b">
        <v>0</v>
      </c>
      <c r="K549" s="79" t="b">
        <v>0</v>
      </c>
      <c r="L549" s="70" t="b">
        <v>0</v>
      </c>
      <c r="M549" s="70" t="b">
        <v>0</v>
      </c>
      <c r="N549" s="1"/>
    </row>
    <row r="550" spans="1:14" ht="22.5" customHeight="1">
      <c r="A550" s="1"/>
      <c r="B550" s="1" t="e">
        <f t="array" aca="1" ref="B550" ca="1">_xludf.XLOOKUP(A550, 도서_정보[ID], 도서_정보[도서명], "")</f>
        <v>#NAME?</v>
      </c>
      <c r="C550" s="1" t="e">
        <f t="array" aca="1" ref="C550" ca="1">_xludf.XLOOKUP(A550, 도서_정보[ID], 도서_정보[작업 페이지], "")</f>
        <v>#NAME?</v>
      </c>
      <c r="D550" s="70" t="b">
        <v>0</v>
      </c>
      <c r="E550" s="70" t="b">
        <v>0</v>
      </c>
      <c r="F550" s="79" t="b">
        <v>0</v>
      </c>
      <c r="G550" s="70" t="b">
        <v>0</v>
      </c>
      <c r="H550" s="70" t="b">
        <v>0</v>
      </c>
      <c r="I550" s="70" t="b">
        <v>0</v>
      </c>
      <c r="J550" s="70" t="b">
        <v>0</v>
      </c>
      <c r="K550" s="79" t="b">
        <v>0</v>
      </c>
      <c r="L550" s="70" t="b">
        <v>0</v>
      </c>
      <c r="M550" s="70" t="b">
        <v>0</v>
      </c>
      <c r="N550" s="1"/>
    </row>
    <row r="551" spans="1:14" ht="22.5" customHeight="1">
      <c r="A551" s="1"/>
      <c r="B551" s="1" t="e">
        <f t="array" aca="1" ref="B551" ca="1">_xludf.XLOOKUP(A551, 도서_정보[ID], 도서_정보[도서명], "")</f>
        <v>#NAME?</v>
      </c>
      <c r="C551" s="1" t="e">
        <f t="array" aca="1" ref="C551" ca="1">_xludf.XLOOKUP(A551, 도서_정보[ID], 도서_정보[작업 페이지], "")</f>
        <v>#NAME?</v>
      </c>
      <c r="D551" s="70" t="b">
        <v>0</v>
      </c>
      <c r="E551" s="70" t="b">
        <v>0</v>
      </c>
      <c r="F551" s="79" t="b">
        <v>0</v>
      </c>
      <c r="G551" s="70" t="b">
        <v>0</v>
      </c>
      <c r="H551" s="70" t="b">
        <v>0</v>
      </c>
      <c r="I551" s="70" t="b">
        <v>0</v>
      </c>
      <c r="J551" s="70" t="b">
        <v>0</v>
      </c>
      <c r="K551" s="79" t="b">
        <v>0</v>
      </c>
      <c r="L551" s="70" t="b">
        <v>0</v>
      </c>
      <c r="M551" s="70" t="b">
        <v>0</v>
      </c>
      <c r="N551" s="1"/>
    </row>
    <row r="552" spans="1:14" ht="22.5" customHeight="1">
      <c r="A552" s="1"/>
      <c r="B552" s="1" t="e">
        <f t="array" aca="1" ref="B552" ca="1">_xludf.XLOOKUP(A552, 도서_정보[ID], 도서_정보[도서명], "")</f>
        <v>#NAME?</v>
      </c>
      <c r="C552" s="1" t="e">
        <f t="array" aca="1" ref="C552" ca="1">_xludf.XLOOKUP(A552, 도서_정보[ID], 도서_정보[작업 페이지], "")</f>
        <v>#NAME?</v>
      </c>
      <c r="D552" s="70" t="b">
        <v>0</v>
      </c>
      <c r="E552" s="70" t="b">
        <v>0</v>
      </c>
      <c r="F552" s="79" t="b">
        <v>0</v>
      </c>
      <c r="G552" s="70" t="b">
        <v>0</v>
      </c>
      <c r="H552" s="70" t="b">
        <v>0</v>
      </c>
      <c r="I552" s="70" t="b">
        <v>0</v>
      </c>
      <c r="J552" s="70" t="b">
        <v>0</v>
      </c>
      <c r="K552" s="79" t="b">
        <v>0</v>
      </c>
      <c r="L552" s="70" t="b">
        <v>0</v>
      </c>
      <c r="M552" s="70" t="b">
        <v>0</v>
      </c>
      <c r="N552" s="1"/>
    </row>
    <row r="553" spans="1:14" ht="22.5" customHeight="1">
      <c r="A553" s="1"/>
      <c r="B553" s="1" t="e">
        <f t="array" aca="1" ref="B553" ca="1">_xludf.XLOOKUP(A553, 도서_정보[ID], 도서_정보[도서명], "")</f>
        <v>#NAME?</v>
      </c>
      <c r="C553" s="1" t="e">
        <f t="array" aca="1" ref="C553" ca="1">_xludf.XLOOKUP(A553, 도서_정보[ID], 도서_정보[작업 페이지], "")</f>
        <v>#NAME?</v>
      </c>
      <c r="D553" s="70" t="b">
        <v>0</v>
      </c>
      <c r="E553" s="70" t="b">
        <v>0</v>
      </c>
      <c r="F553" s="79" t="b">
        <v>0</v>
      </c>
      <c r="G553" s="70" t="b">
        <v>0</v>
      </c>
      <c r="H553" s="70" t="b">
        <v>0</v>
      </c>
      <c r="I553" s="70" t="b">
        <v>0</v>
      </c>
      <c r="J553" s="70" t="b">
        <v>0</v>
      </c>
      <c r="K553" s="79" t="b">
        <v>0</v>
      </c>
      <c r="L553" s="70" t="b">
        <v>0</v>
      </c>
      <c r="M553" s="70" t="b">
        <v>0</v>
      </c>
      <c r="N553" s="1"/>
    </row>
    <row r="554" spans="1:14" ht="22.5" customHeight="1">
      <c r="A554" s="1"/>
      <c r="B554" s="1" t="e">
        <f t="array" aca="1" ref="B554" ca="1">_xludf.XLOOKUP(A554, 도서_정보[ID], 도서_정보[도서명], "")</f>
        <v>#NAME?</v>
      </c>
      <c r="C554" s="1" t="e">
        <f t="array" aca="1" ref="C554" ca="1">_xludf.XLOOKUP(A554, 도서_정보[ID], 도서_정보[작업 페이지], "")</f>
        <v>#NAME?</v>
      </c>
      <c r="D554" s="70" t="b">
        <v>0</v>
      </c>
      <c r="E554" s="70" t="b">
        <v>0</v>
      </c>
      <c r="F554" s="79" t="b">
        <v>0</v>
      </c>
      <c r="G554" s="70" t="b">
        <v>0</v>
      </c>
      <c r="H554" s="70" t="b">
        <v>0</v>
      </c>
      <c r="I554" s="70" t="b">
        <v>0</v>
      </c>
      <c r="J554" s="70" t="b">
        <v>0</v>
      </c>
      <c r="K554" s="79" t="b">
        <v>0</v>
      </c>
      <c r="L554" s="70" t="b">
        <v>0</v>
      </c>
      <c r="M554" s="70" t="b">
        <v>0</v>
      </c>
      <c r="N554" s="1"/>
    </row>
    <row r="555" spans="1:14" ht="22.5" customHeight="1">
      <c r="A555" s="1"/>
      <c r="B555" s="1" t="e">
        <f t="array" aca="1" ref="B555" ca="1">_xludf.XLOOKUP(A555, 도서_정보[ID], 도서_정보[도서명], "")</f>
        <v>#NAME?</v>
      </c>
      <c r="C555" s="1" t="e">
        <f t="array" aca="1" ref="C555" ca="1">_xludf.XLOOKUP(A555, 도서_정보[ID], 도서_정보[작업 페이지], "")</f>
        <v>#NAME?</v>
      </c>
      <c r="D555" s="70" t="b">
        <v>0</v>
      </c>
      <c r="E555" s="70" t="b">
        <v>0</v>
      </c>
      <c r="F555" s="79" t="b">
        <v>0</v>
      </c>
      <c r="G555" s="70" t="b">
        <v>0</v>
      </c>
      <c r="H555" s="70" t="b">
        <v>0</v>
      </c>
      <c r="I555" s="70" t="b">
        <v>0</v>
      </c>
      <c r="J555" s="70" t="b">
        <v>0</v>
      </c>
      <c r="K555" s="79" t="b">
        <v>0</v>
      </c>
      <c r="L555" s="70" t="b">
        <v>0</v>
      </c>
      <c r="M555" s="70" t="b">
        <v>0</v>
      </c>
      <c r="N555" s="1"/>
    </row>
    <row r="556" spans="1:14" ht="22.5" customHeight="1">
      <c r="A556" s="1"/>
      <c r="B556" s="1" t="e">
        <f t="array" aca="1" ref="B556" ca="1">_xludf.XLOOKUP(A556, 도서_정보[ID], 도서_정보[도서명], "")</f>
        <v>#NAME?</v>
      </c>
      <c r="C556" s="1" t="e">
        <f t="array" aca="1" ref="C556" ca="1">_xludf.XLOOKUP(A556, 도서_정보[ID], 도서_정보[작업 페이지], "")</f>
        <v>#NAME?</v>
      </c>
      <c r="D556" s="70" t="b">
        <v>0</v>
      </c>
      <c r="E556" s="70" t="b">
        <v>0</v>
      </c>
      <c r="F556" s="79" t="b">
        <v>0</v>
      </c>
      <c r="G556" s="70" t="b">
        <v>0</v>
      </c>
      <c r="H556" s="70" t="b">
        <v>0</v>
      </c>
      <c r="I556" s="70" t="b">
        <v>0</v>
      </c>
      <c r="J556" s="70" t="b">
        <v>0</v>
      </c>
      <c r="K556" s="79" t="b">
        <v>0</v>
      </c>
      <c r="L556" s="70" t="b">
        <v>0</v>
      </c>
      <c r="M556" s="70" t="b">
        <v>0</v>
      </c>
      <c r="N556" s="1"/>
    </row>
    <row r="557" spans="1:14" ht="22.5" customHeight="1">
      <c r="A557" s="1"/>
      <c r="B557" s="1" t="e">
        <f t="array" aca="1" ref="B557" ca="1">_xludf.XLOOKUP(A557, 도서_정보[ID], 도서_정보[도서명], "")</f>
        <v>#NAME?</v>
      </c>
      <c r="C557" s="1" t="e">
        <f t="array" aca="1" ref="C557" ca="1">_xludf.XLOOKUP(A557, 도서_정보[ID], 도서_정보[작업 페이지], "")</f>
        <v>#NAME?</v>
      </c>
      <c r="D557" s="70" t="b">
        <v>0</v>
      </c>
      <c r="E557" s="70" t="b">
        <v>0</v>
      </c>
      <c r="F557" s="79" t="b">
        <v>0</v>
      </c>
      <c r="G557" s="70" t="b">
        <v>0</v>
      </c>
      <c r="H557" s="70" t="b">
        <v>0</v>
      </c>
      <c r="I557" s="70" t="b">
        <v>0</v>
      </c>
      <c r="J557" s="70" t="b">
        <v>0</v>
      </c>
      <c r="K557" s="79" t="b">
        <v>0</v>
      </c>
      <c r="L557" s="70" t="b">
        <v>0</v>
      </c>
      <c r="M557" s="70" t="b">
        <v>0</v>
      </c>
      <c r="N557" s="1"/>
    </row>
    <row r="558" spans="1:14" ht="22.5" customHeight="1">
      <c r="A558" s="1"/>
      <c r="B558" s="1" t="e">
        <f t="array" aca="1" ref="B558" ca="1">_xludf.XLOOKUP(A558, 도서_정보[ID], 도서_정보[도서명], "")</f>
        <v>#NAME?</v>
      </c>
      <c r="C558" s="1" t="e">
        <f t="array" aca="1" ref="C558" ca="1">_xludf.XLOOKUP(A558, 도서_정보[ID], 도서_정보[작업 페이지], "")</f>
        <v>#NAME?</v>
      </c>
      <c r="D558" s="70" t="b">
        <v>0</v>
      </c>
      <c r="E558" s="70" t="b">
        <v>0</v>
      </c>
      <c r="F558" s="79" t="b">
        <v>0</v>
      </c>
      <c r="G558" s="70" t="b">
        <v>0</v>
      </c>
      <c r="H558" s="70" t="b">
        <v>0</v>
      </c>
      <c r="I558" s="70" t="b">
        <v>0</v>
      </c>
      <c r="J558" s="70" t="b">
        <v>0</v>
      </c>
      <c r="K558" s="79" t="b">
        <v>0</v>
      </c>
      <c r="L558" s="70" t="b">
        <v>0</v>
      </c>
      <c r="M558" s="70" t="b">
        <v>0</v>
      </c>
      <c r="N558" s="1"/>
    </row>
    <row r="559" spans="1:14" ht="22.5" customHeight="1">
      <c r="A559" s="1"/>
      <c r="B559" s="1" t="e">
        <f t="array" aca="1" ref="B559" ca="1">_xludf.XLOOKUP(A559, 도서_정보[ID], 도서_정보[도서명], "")</f>
        <v>#NAME?</v>
      </c>
      <c r="C559" s="1" t="e">
        <f t="array" aca="1" ref="C559" ca="1">_xludf.XLOOKUP(A559, 도서_정보[ID], 도서_정보[작업 페이지], "")</f>
        <v>#NAME?</v>
      </c>
      <c r="D559" s="70" t="b">
        <v>0</v>
      </c>
      <c r="E559" s="70" t="b">
        <v>0</v>
      </c>
      <c r="F559" s="79" t="b">
        <v>0</v>
      </c>
      <c r="G559" s="70" t="b">
        <v>0</v>
      </c>
      <c r="H559" s="70" t="b">
        <v>0</v>
      </c>
      <c r="I559" s="70" t="b">
        <v>0</v>
      </c>
      <c r="J559" s="70" t="b">
        <v>0</v>
      </c>
      <c r="K559" s="79" t="b">
        <v>0</v>
      </c>
      <c r="L559" s="70" t="b">
        <v>0</v>
      </c>
      <c r="M559" s="70" t="b">
        <v>0</v>
      </c>
      <c r="N559" s="1"/>
    </row>
    <row r="560" spans="1:14" ht="22.5" customHeight="1">
      <c r="A560" s="1"/>
      <c r="B560" s="1" t="e">
        <f t="array" aca="1" ref="B560" ca="1">_xludf.XLOOKUP(A560, 도서_정보[ID], 도서_정보[도서명], "")</f>
        <v>#NAME?</v>
      </c>
      <c r="C560" s="1" t="e">
        <f t="array" aca="1" ref="C560" ca="1">_xludf.XLOOKUP(A560, 도서_정보[ID], 도서_정보[작업 페이지], "")</f>
        <v>#NAME?</v>
      </c>
      <c r="D560" s="70" t="b">
        <v>0</v>
      </c>
      <c r="E560" s="70" t="b">
        <v>0</v>
      </c>
      <c r="F560" s="79" t="b">
        <v>0</v>
      </c>
      <c r="G560" s="70" t="b">
        <v>0</v>
      </c>
      <c r="H560" s="70" t="b">
        <v>0</v>
      </c>
      <c r="I560" s="70" t="b">
        <v>0</v>
      </c>
      <c r="J560" s="70" t="b">
        <v>0</v>
      </c>
      <c r="K560" s="79" t="b">
        <v>0</v>
      </c>
      <c r="L560" s="70" t="b">
        <v>0</v>
      </c>
      <c r="M560" s="70" t="b">
        <v>0</v>
      </c>
      <c r="N560" s="1"/>
    </row>
    <row r="561" spans="1:14" ht="22.5" customHeight="1">
      <c r="A561" s="1"/>
      <c r="B561" s="1" t="e">
        <f t="array" aca="1" ref="B561" ca="1">_xludf.XLOOKUP(A561, 도서_정보[ID], 도서_정보[도서명], "")</f>
        <v>#NAME?</v>
      </c>
      <c r="C561" s="1" t="e">
        <f t="array" aca="1" ref="C561" ca="1">_xludf.XLOOKUP(A561, 도서_정보[ID], 도서_정보[작업 페이지], "")</f>
        <v>#NAME?</v>
      </c>
      <c r="D561" s="70" t="b">
        <v>0</v>
      </c>
      <c r="E561" s="70" t="b">
        <v>0</v>
      </c>
      <c r="F561" s="79" t="b">
        <v>0</v>
      </c>
      <c r="G561" s="70" t="b">
        <v>0</v>
      </c>
      <c r="H561" s="70" t="b">
        <v>0</v>
      </c>
      <c r="I561" s="70" t="b">
        <v>0</v>
      </c>
      <c r="J561" s="70" t="b">
        <v>0</v>
      </c>
      <c r="K561" s="79" t="b">
        <v>0</v>
      </c>
      <c r="L561" s="70" t="b">
        <v>0</v>
      </c>
      <c r="M561" s="70" t="b">
        <v>0</v>
      </c>
      <c r="N561" s="1"/>
    </row>
    <row r="562" spans="1:14" ht="22.5" customHeight="1">
      <c r="A562" s="1"/>
      <c r="B562" s="1" t="e">
        <f t="array" aca="1" ref="B562" ca="1">_xludf.XLOOKUP(A562, 도서_정보[ID], 도서_정보[도서명], "")</f>
        <v>#NAME?</v>
      </c>
      <c r="C562" s="1" t="e">
        <f t="array" aca="1" ref="C562" ca="1">_xludf.XLOOKUP(A562, 도서_정보[ID], 도서_정보[작업 페이지], "")</f>
        <v>#NAME?</v>
      </c>
      <c r="D562" s="70" t="b">
        <v>0</v>
      </c>
      <c r="E562" s="70" t="b">
        <v>0</v>
      </c>
      <c r="F562" s="79" t="b">
        <v>0</v>
      </c>
      <c r="G562" s="70" t="b">
        <v>0</v>
      </c>
      <c r="H562" s="70" t="b">
        <v>0</v>
      </c>
      <c r="I562" s="70" t="b">
        <v>0</v>
      </c>
      <c r="J562" s="70" t="b">
        <v>0</v>
      </c>
      <c r="K562" s="79" t="b">
        <v>0</v>
      </c>
      <c r="L562" s="70" t="b">
        <v>0</v>
      </c>
      <c r="M562" s="70" t="b">
        <v>0</v>
      </c>
      <c r="N562" s="1"/>
    </row>
    <row r="563" spans="1:14" ht="22.5" customHeight="1">
      <c r="A563" s="1"/>
      <c r="B563" s="1" t="e">
        <f t="array" aca="1" ref="B563" ca="1">_xludf.XLOOKUP(A563, 도서_정보[ID], 도서_정보[도서명], "")</f>
        <v>#NAME?</v>
      </c>
      <c r="C563" s="1" t="e">
        <f t="array" aca="1" ref="C563" ca="1">_xludf.XLOOKUP(A563, 도서_정보[ID], 도서_정보[작업 페이지], "")</f>
        <v>#NAME?</v>
      </c>
      <c r="D563" s="70" t="b">
        <v>0</v>
      </c>
      <c r="E563" s="70" t="b">
        <v>0</v>
      </c>
      <c r="F563" s="79" t="b">
        <v>0</v>
      </c>
      <c r="G563" s="70" t="b">
        <v>0</v>
      </c>
      <c r="H563" s="70" t="b">
        <v>0</v>
      </c>
      <c r="I563" s="70" t="b">
        <v>0</v>
      </c>
      <c r="J563" s="70" t="b">
        <v>0</v>
      </c>
      <c r="K563" s="79" t="b">
        <v>0</v>
      </c>
      <c r="L563" s="70" t="b">
        <v>0</v>
      </c>
      <c r="M563" s="70" t="b">
        <v>0</v>
      </c>
      <c r="N563" s="1"/>
    </row>
    <row r="564" spans="1:14" ht="22.5" customHeight="1">
      <c r="A564" s="1"/>
      <c r="B564" s="1" t="e">
        <f t="array" aca="1" ref="B564" ca="1">_xludf.XLOOKUP(A564, 도서_정보[ID], 도서_정보[도서명], "")</f>
        <v>#NAME?</v>
      </c>
      <c r="C564" s="1" t="e">
        <f t="array" aca="1" ref="C564" ca="1">_xludf.XLOOKUP(A564, 도서_정보[ID], 도서_정보[작업 페이지], "")</f>
        <v>#NAME?</v>
      </c>
      <c r="D564" s="70" t="b">
        <v>0</v>
      </c>
      <c r="E564" s="70" t="b">
        <v>0</v>
      </c>
      <c r="F564" s="79" t="b">
        <v>0</v>
      </c>
      <c r="G564" s="70" t="b">
        <v>0</v>
      </c>
      <c r="H564" s="70" t="b">
        <v>0</v>
      </c>
      <c r="I564" s="70" t="b">
        <v>0</v>
      </c>
      <c r="J564" s="70" t="b">
        <v>0</v>
      </c>
      <c r="K564" s="79" t="b">
        <v>0</v>
      </c>
      <c r="L564" s="70" t="b">
        <v>0</v>
      </c>
      <c r="M564" s="70" t="b">
        <v>0</v>
      </c>
      <c r="N564" s="1"/>
    </row>
    <row r="565" spans="1:14" ht="22.5" customHeight="1">
      <c r="A565" s="1"/>
      <c r="B565" s="1" t="e">
        <f t="array" aca="1" ref="B565" ca="1">_xludf.XLOOKUP(A565, 도서_정보[ID], 도서_정보[도서명], "")</f>
        <v>#NAME?</v>
      </c>
      <c r="C565" s="1" t="e">
        <f t="array" aca="1" ref="C565" ca="1">_xludf.XLOOKUP(A565, 도서_정보[ID], 도서_정보[작업 페이지], "")</f>
        <v>#NAME?</v>
      </c>
      <c r="D565" s="70" t="b">
        <v>0</v>
      </c>
      <c r="E565" s="70" t="b">
        <v>0</v>
      </c>
      <c r="F565" s="79" t="b">
        <v>0</v>
      </c>
      <c r="G565" s="70" t="b">
        <v>0</v>
      </c>
      <c r="H565" s="70" t="b">
        <v>0</v>
      </c>
      <c r="I565" s="70" t="b">
        <v>0</v>
      </c>
      <c r="J565" s="70" t="b">
        <v>0</v>
      </c>
      <c r="K565" s="79" t="b">
        <v>0</v>
      </c>
      <c r="L565" s="70" t="b">
        <v>0</v>
      </c>
      <c r="M565" s="70" t="b">
        <v>0</v>
      </c>
      <c r="N565" s="1"/>
    </row>
    <row r="566" spans="1:14" ht="22.5" customHeight="1">
      <c r="A566" s="1"/>
      <c r="B566" s="1" t="e">
        <f t="array" aca="1" ref="B566" ca="1">_xludf.XLOOKUP(A566, 도서_정보[ID], 도서_정보[도서명], "")</f>
        <v>#NAME?</v>
      </c>
      <c r="C566" s="1" t="e">
        <f t="array" aca="1" ref="C566" ca="1">_xludf.XLOOKUP(A566, 도서_정보[ID], 도서_정보[작업 페이지], "")</f>
        <v>#NAME?</v>
      </c>
      <c r="D566" s="70" t="b">
        <v>0</v>
      </c>
      <c r="E566" s="70" t="b">
        <v>0</v>
      </c>
      <c r="F566" s="79" t="b">
        <v>0</v>
      </c>
      <c r="G566" s="70" t="b">
        <v>0</v>
      </c>
      <c r="H566" s="70" t="b">
        <v>0</v>
      </c>
      <c r="I566" s="70" t="b">
        <v>0</v>
      </c>
      <c r="J566" s="70" t="b">
        <v>0</v>
      </c>
      <c r="K566" s="79" t="b">
        <v>0</v>
      </c>
      <c r="L566" s="70" t="b">
        <v>0</v>
      </c>
      <c r="M566" s="70" t="b">
        <v>0</v>
      </c>
      <c r="N566" s="1"/>
    </row>
    <row r="567" spans="1:14" ht="22.5" customHeight="1">
      <c r="A567" s="1"/>
      <c r="B567" s="1" t="e">
        <f t="array" aca="1" ref="B567" ca="1">_xludf.XLOOKUP(A567, 도서_정보[ID], 도서_정보[도서명], "")</f>
        <v>#NAME?</v>
      </c>
      <c r="C567" s="1" t="e">
        <f t="array" aca="1" ref="C567" ca="1">_xludf.XLOOKUP(A567, 도서_정보[ID], 도서_정보[작업 페이지], "")</f>
        <v>#NAME?</v>
      </c>
      <c r="D567" s="70" t="b">
        <v>0</v>
      </c>
      <c r="E567" s="70" t="b">
        <v>0</v>
      </c>
      <c r="F567" s="79" t="b">
        <v>0</v>
      </c>
      <c r="G567" s="70" t="b">
        <v>0</v>
      </c>
      <c r="H567" s="70" t="b">
        <v>0</v>
      </c>
      <c r="I567" s="70" t="b">
        <v>0</v>
      </c>
      <c r="J567" s="70" t="b">
        <v>0</v>
      </c>
      <c r="K567" s="79" t="b">
        <v>0</v>
      </c>
      <c r="L567" s="70" t="b">
        <v>0</v>
      </c>
      <c r="M567" s="70" t="b">
        <v>0</v>
      </c>
      <c r="N567" s="1"/>
    </row>
    <row r="568" spans="1:14" ht="22.5" customHeight="1">
      <c r="A568" s="1"/>
      <c r="B568" s="1" t="e">
        <f t="array" aca="1" ref="B568" ca="1">_xludf.XLOOKUP(A568, 도서_정보[ID], 도서_정보[도서명], "")</f>
        <v>#NAME?</v>
      </c>
      <c r="C568" s="1" t="e">
        <f t="array" aca="1" ref="C568" ca="1">_xludf.XLOOKUP(A568, 도서_정보[ID], 도서_정보[작업 페이지], "")</f>
        <v>#NAME?</v>
      </c>
      <c r="D568" s="70" t="b">
        <v>0</v>
      </c>
      <c r="E568" s="70" t="b">
        <v>0</v>
      </c>
      <c r="F568" s="79" t="b">
        <v>0</v>
      </c>
      <c r="G568" s="70" t="b">
        <v>0</v>
      </c>
      <c r="H568" s="70" t="b">
        <v>0</v>
      </c>
      <c r="I568" s="70" t="b">
        <v>0</v>
      </c>
      <c r="J568" s="70" t="b">
        <v>0</v>
      </c>
      <c r="K568" s="79" t="b">
        <v>0</v>
      </c>
      <c r="L568" s="70" t="b">
        <v>0</v>
      </c>
      <c r="M568" s="70" t="b">
        <v>0</v>
      </c>
      <c r="N568" s="1"/>
    </row>
    <row r="569" spans="1:14" ht="22.5" customHeight="1">
      <c r="A569" s="1"/>
      <c r="B569" s="1" t="e">
        <f t="array" aca="1" ref="B569" ca="1">_xludf.XLOOKUP(A569, 도서_정보[ID], 도서_정보[도서명], "")</f>
        <v>#NAME?</v>
      </c>
      <c r="C569" s="1" t="e">
        <f t="array" aca="1" ref="C569" ca="1">_xludf.XLOOKUP(A569, 도서_정보[ID], 도서_정보[작업 페이지], "")</f>
        <v>#NAME?</v>
      </c>
      <c r="D569" s="70" t="b">
        <v>0</v>
      </c>
      <c r="E569" s="70" t="b">
        <v>0</v>
      </c>
      <c r="F569" s="79" t="b">
        <v>0</v>
      </c>
      <c r="G569" s="70" t="b">
        <v>0</v>
      </c>
      <c r="H569" s="70" t="b">
        <v>0</v>
      </c>
      <c r="I569" s="70" t="b">
        <v>0</v>
      </c>
      <c r="J569" s="70" t="b">
        <v>0</v>
      </c>
      <c r="K569" s="79" t="b">
        <v>0</v>
      </c>
      <c r="L569" s="70" t="b">
        <v>0</v>
      </c>
      <c r="M569" s="70" t="b">
        <v>0</v>
      </c>
      <c r="N569" s="1"/>
    </row>
    <row r="570" spans="1:14" ht="22.5" customHeight="1">
      <c r="A570" s="1"/>
      <c r="B570" s="1" t="e">
        <f t="array" aca="1" ref="B570" ca="1">_xludf.XLOOKUP(A570, 도서_정보[ID], 도서_정보[도서명], "")</f>
        <v>#NAME?</v>
      </c>
      <c r="C570" s="1" t="e">
        <f t="array" aca="1" ref="C570" ca="1">_xludf.XLOOKUP(A570, 도서_정보[ID], 도서_정보[작업 페이지], "")</f>
        <v>#NAME?</v>
      </c>
      <c r="D570" s="70" t="b">
        <v>0</v>
      </c>
      <c r="E570" s="70" t="b">
        <v>0</v>
      </c>
      <c r="F570" s="79" t="b">
        <v>0</v>
      </c>
      <c r="G570" s="70" t="b">
        <v>0</v>
      </c>
      <c r="H570" s="70" t="b">
        <v>0</v>
      </c>
      <c r="I570" s="70" t="b">
        <v>0</v>
      </c>
      <c r="J570" s="70" t="b">
        <v>0</v>
      </c>
      <c r="K570" s="79" t="b">
        <v>0</v>
      </c>
      <c r="L570" s="70" t="b">
        <v>0</v>
      </c>
      <c r="M570" s="70" t="b">
        <v>0</v>
      </c>
      <c r="N570" s="1"/>
    </row>
    <row r="571" spans="1:14" ht="22.5" customHeight="1">
      <c r="A571" s="1"/>
      <c r="B571" s="1" t="e">
        <f t="array" aca="1" ref="B571" ca="1">_xludf.XLOOKUP(A571, 도서_정보[ID], 도서_정보[도서명], "")</f>
        <v>#NAME?</v>
      </c>
      <c r="C571" s="1" t="e">
        <f t="array" aca="1" ref="C571" ca="1">_xludf.XLOOKUP(A571, 도서_정보[ID], 도서_정보[작업 페이지], "")</f>
        <v>#NAME?</v>
      </c>
      <c r="D571" s="70" t="b">
        <v>0</v>
      </c>
      <c r="E571" s="70" t="b">
        <v>0</v>
      </c>
      <c r="F571" s="79" t="b">
        <v>0</v>
      </c>
      <c r="G571" s="70" t="b">
        <v>0</v>
      </c>
      <c r="H571" s="70" t="b">
        <v>0</v>
      </c>
      <c r="I571" s="70" t="b">
        <v>0</v>
      </c>
      <c r="J571" s="70" t="b">
        <v>0</v>
      </c>
      <c r="K571" s="79" t="b">
        <v>0</v>
      </c>
      <c r="L571" s="70" t="b">
        <v>0</v>
      </c>
      <c r="M571" s="70" t="b">
        <v>0</v>
      </c>
      <c r="N571" s="1"/>
    </row>
    <row r="572" spans="1:14" ht="22.5" customHeight="1">
      <c r="A572" s="1"/>
      <c r="B572" s="1" t="e">
        <f t="array" aca="1" ref="B572" ca="1">_xludf.XLOOKUP(A572, 도서_정보[ID], 도서_정보[도서명], "")</f>
        <v>#NAME?</v>
      </c>
      <c r="C572" s="1" t="e">
        <f t="array" aca="1" ref="C572" ca="1">_xludf.XLOOKUP(A572, 도서_정보[ID], 도서_정보[작업 페이지], "")</f>
        <v>#NAME?</v>
      </c>
      <c r="D572" s="70" t="b">
        <v>0</v>
      </c>
      <c r="E572" s="70" t="b">
        <v>0</v>
      </c>
      <c r="F572" s="79" t="b">
        <v>0</v>
      </c>
      <c r="G572" s="70" t="b">
        <v>0</v>
      </c>
      <c r="H572" s="70" t="b">
        <v>0</v>
      </c>
      <c r="I572" s="70" t="b">
        <v>0</v>
      </c>
      <c r="J572" s="70" t="b">
        <v>0</v>
      </c>
      <c r="K572" s="79" t="b">
        <v>0</v>
      </c>
      <c r="L572" s="70" t="b">
        <v>0</v>
      </c>
      <c r="M572" s="70" t="b">
        <v>0</v>
      </c>
      <c r="N572" s="1"/>
    </row>
    <row r="573" spans="1:14" ht="22.5" customHeight="1">
      <c r="A573" s="1"/>
      <c r="B573" s="1" t="e">
        <f t="array" aca="1" ref="B573" ca="1">_xludf.XLOOKUP(A573, 도서_정보[ID], 도서_정보[도서명], "")</f>
        <v>#NAME?</v>
      </c>
      <c r="C573" s="1" t="e">
        <f t="array" aca="1" ref="C573" ca="1">_xludf.XLOOKUP(A573, 도서_정보[ID], 도서_정보[작업 페이지], "")</f>
        <v>#NAME?</v>
      </c>
      <c r="D573" s="70" t="b">
        <v>0</v>
      </c>
      <c r="E573" s="70" t="b">
        <v>0</v>
      </c>
      <c r="F573" s="79" t="b">
        <v>0</v>
      </c>
      <c r="G573" s="70" t="b">
        <v>0</v>
      </c>
      <c r="H573" s="70" t="b">
        <v>0</v>
      </c>
      <c r="I573" s="70" t="b">
        <v>0</v>
      </c>
      <c r="J573" s="70" t="b">
        <v>0</v>
      </c>
      <c r="K573" s="79" t="b">
        <v>0</v>
      </c>
      <c r="L573" s="70" t="b">
        <v>0</v>
      </c>
      <c r="M573" s="70" t="b">
        <v>0</v>
      </c>
      <c r="N573" s="1"/>
    </row>
    <row r="574" spans="1:14" ht="22.5" customHeight="1">
      <c r="A574" s="1"/>
      <c r="B574" s="1" t="e">
        <f t="array" aca="1" ref="B574" ca="1">_xludf.XLOOKUP(A574, 도서_정보[ID], 도서_정보[도서명], "")</f>
        <v>#NAME?</v>
      </c>
      <c r="C574" s="1" t="e">
        <f t="array" aca="1" ref="C574" ca="1">_xludf.XLOOKUP(A574, 도서_정보[ID], 도서_정보[작업 페이지], "")</f>
        <v>#NAME?</v>
      </c>
      <c r="D574" s="70" t="b">
        <v>0</v>
      </c>
      <c r="E574" s="70" t="b">
        <v>0</v>
      </c>
      <c r="F574" s="79" t="b">
        <v>0</v>
      </c>
      <c r="G574" s="70" t="b">
        <v>0</v>
      </c>
      <c r="H574" s="70" t="b">
        <v>0</v>
      </c>
      <c r="I574" s="70" t="b">
        <v>0</v>
      </c>
      <c r="J574" s="70" t="b">
        <v>0</v>
      </c>
      <c r="K574" s="79" t="b">
        <v>0</v>
      </c>
      <c r="L574" s="70" t="b">
        <v>0</v>
      </c>
      <c r="M574" s="70" t="b">
        <v>0</v>
      </c>
      <c r="N574" s="1"/>
    </row>
    <row r="575" spans="1:14" ht="22.5" customHeight="1">
      <c r="A575" s="1"/>
      <c r="B575" s="1" t="e">
        <f t="array" aca="1" ref="B575" ca="1">_xludf.XLOOKUP(A575, 도서_정보[ID], 도서_정보[도서명], "")</f>
        <v>#NAME?</v>
      </c>
      <c r="C575" s="1" t="e">
        <f t="array" aca="1" ref="C575" ca="1">_xludf.XLOOKUP(A575, 도서_정보[ID], 도서_정보[작업 페이지], "")</f>
        <v>#NAME?</v>
      </c>
      <c r="D575" s="70" t="b">
        <v>0</v>
      </c>
      <c r="E575" s="70" t="b">
        <v>0</v>
      </c>
      <c r="F575" s="79" t="b">
        <v>0</v>
      </c>
      <c r="G575" s="70" t="b">
        <v>0</v>
      </c>
      <c r="H575" s="70" t="b">
        <v>0</v>
      </c>
      <c r="I575" s="70" t="b">
        <v>0</v>
      </c>
      <c r="J575" s="70" t="b">
        <v>0</v>
      </c>
      <c r="K575" s="79" t="b">
        <v>0</v>
      </c>
      <c r="L575" s="70" t="b">
        <v>0</v>
      </c>
      <c r="M575" s="70" t="b">
        <v>0</v>
      </c>
      <c r="N575" s="1"/>
    </row>
    <row r="576" spans="1:14" ht="22.5" customHeight="1">
      <c r="A576" s="1"/>
      <c r="B576" s="1" t="e">
        <f t="array" aca="1" ref="B576" ca="1">_xludf.XLOOKUP(A576, 도서_정보[ID], 도서_정보[도서명], "")</f>
        <v>#NAME?</v>
      </c>
      <c r="C576" s="1" t="e">
        <f t="array" aca="1" ref="C576" ca="1">_xludf.XLOOKUP(A576, 도서_정보[ID], 도서_정보[작업 페이지], "")</f>
        <v>#NAME?</v>
      </c>
      <c r="D576" s="70" t="b">
        <v>0</v>
      </c>
      <c r="E576" s="70" t="b">
        <v>0</v>
      </c>
      <c r="F576" s="79" t="b">
        <v>0</v>
      </c>
      <c r="G576" s="70" t="b">
        <v>0</v>
      </c>
      <c r="H576" s="70" t="b">
        <v>0</v>
      </c>
      <c r="I576" s="70" t="b">
        <v>0</v>
      </c>
      <c r="J576" s="70" t="b">
        <v>0</v>
      </c>
      <c r="K576" s="79" t="b">
        <v>0</v>
      </c>
      <c r="L576" s="70" t="b">
        <v>0</v>
      </c>
      <c r="M576" s="70" t="b">
        <v>0</v>
      </c>
      <c r="N576" s="1"/>
    </row>
    <row r="577" spans="1:14" ht="22.5" customHeight="1">
      <c r="A577" s="1"/>
      <c r="B577" s="1" t="e">
        <f t="array" aca="1" ref="B577" ca="1">_xludf.XLOOKUP(A577, 도서_정보[ID], 도서_정보[도서명], "")</f>
        <v>#NAME?</v>
      </c>
      <c r="C577" s="1" t="e">
        <f t="array" aca="1" ref="C577" ca="1">_xludf.XLOOKUP(A577, 도서_정보[ID], 도서_정보[작업 페이지], "")</f>
        <v>#NAME?</v>
      </c>
      <c r="D577" s="70" t="b">
        <v>0</v>
      </c>
      <c r="E577" s="70" t="b">
        <v>0</v>
      </c>
      <c r="F577" s="79" t="b">
        <v>0</v>
      </c>
      <c r="G577" s="70" t="b">
        <v>0</v>
      </c>
      <c r="H577" s="70" t="b">
        <v>0</v>
      </c>
      <c r="I577" s="70" t="b">
        <v>0</v>
      </c>
      <c r="J577" s="70" t="b">
        <v>0</v>
      </c>
      <c r="K577" s="79" t="b">
        <v>0</v>
      </c>
      <c r="L577" s="70" t="b">
        <v>0</v>
      </c>
      <c r="M577" s="70" t="b">
        <v>0</v>
      </c>
      <c r="N577" s="1"/>
    </row>
    <row r="578" spans="1:14" ht="22.5" customHeight="1">
      <c r="A578" s="1"/>
      <c r="B578" s="1" t="e">
        <f t="array" aca="1" ref="B578" ca="1">_xludf.XLOOKUP(A578, 도서_정보[ID], 도서_정보[도서명], "")</f>
        <v>#NAME?</v>
      </c>
      <c r="C578" s="1" t="e">
        <f t="array" aca="1" ref="C578" ca="1">_xludf.XLOOKUP(A578, 도서_정보[ID], 도서_정보[작업 페이지], "")</f>
        <v>#NAME?</v>
      </c>
      <c r="D578" s="70" t="b">
        <v>0</v>
      </c>
      <c r="E578" s="70" t="b">
        <v>0</v>
      </c>
      <c r="F578" s="79" t="b">
        <v>0</v>
      </c>
      <c r="G578" s="70" t="b">
        <v>0</v>
      </c>
      <c r="H578" s="70" t="b">
        <v>0</v>
      </c>
      <c r="I578" s="70" t="b">
        <v>0</v>
      </c>
      <c r="J578" s="70" t="b">
        <v>0</v>
      </c>
      <c r="K578" s="79" t="b">
        <v>0</v>
      </c>
      <c r="L578" s="70" t="b">
        <v>0</v>
      </c>
      <c r="M578" s="70" t="b">
        <v>0</v>
      </c>
      <c r="N578" s="1"/>
    </row>
    <row r="579" spans="1:14" ht="22.5" customHeight="1">
      <c r="A579" s="1"/>
      <c r="B579" s="1" t="e">
        <f t="array" aca="1" ref="B579" ca="1">_xludf.XLOOKUP(A579, 도서_정보[ID], 도서_정보[도서명], "")</f>
        <v>#NAME?</v>
      </c>
      <c r="C579" s="1" t="e">
        <f t="array" aca="1" ref="C579" ca="1">_xludf.XLOOKUP(A579, 도서_정보[ID], 도서_정보[작업 페이지], "")</f>
        <v>#NAME?</v>
      </c>
      <c r="D579" s="70" t="b">
        <v>0</v>
      </c>
      <c r="E579" s="70" t="b">
        <v>0</v>
      </c>
      <c r="F579" s="79" t="b">
        <v>0</v>
      </c>
      <c r="G579" s="70" t="b">
        <v>0</v>
      </c>
      <c r="H579" s="70" t="b">
        <v>0</v>
      </c>
      <c r="I579" s="70" t="b">
        <v>0</v>
      </c>
      <c r="J579" s="70" t="b">
        <v>0</v>
      </c>
      <c r="K579" s="79" t="b">
        <v>0</v>
      </c>
      <c r="L579" s="70" t="b">
        <v>0</v>
      </c>
      <c r="M579" s="70" t="b">
        <v>0</v>
      </c>
      <c r="N579" s="1"/>
    </row>
    <row r="580" spans="1:14" ht="22.5" customHeight="1">
      <c r="A580" s="1"/>
      <c r="B580" s="1" t="e">
        <f t="array" aca="1" ref="B580" ca="1">_xludf.XLOOKUP(A580, 도서_정보[ID], 도서_정보[도서명], "")</f>
        <v>#NAME?</v>
      </c>
      <c r="C580" s="1" t="e">
        <f t="array" aca="1" ref="C580" ca="1">_xludf.XLOOKUP(A580, 도서_정보[ID], 도서_정보[작업 페이지], "")</f>
        <v>#NAME?</v>
      </c>
      <c r="D580" s="70" t="b">
        <v>0</v>
      </c>
      <c r="E580" s="70" t="b">
        <v>0</v>
      </c>
      <c r="F580" s="79" t="b">
        <v>0</v>
      </c>
      <c r="G580" s="70" t="b">
        <v>0</v>
      </c>
      <c r="H580" s="70" t="b">
        <v>0</v>
      </c>
      <c r="I580" s="70" t="b">
        <v>0</v>
      </c>
      <c r="J580" s="70" t="b">
        <v>0</v>
      </c>
      <c r="K580" s="79" t="b">
        <v>0</v>
      </c>
      <c r="L580" s="70" t="b">
        <v>0</v>
      </c>
      <c r="M580" s="70" t="b">
        <v>0</v>
      </c>
      <c r="N580" s="1"/>
    </row>
    <row r="581" spans="1:14" ht="22.5" customHeight="1">
      <c r="A581" s="1"/>
      <c r="B581" s="1" t="e">
        <f t="array" aca="1" ref="B581" ca="1">_xludf.XLOOKUP(A581, 도서_정보[ID], 도서_정보[도서명], "")</f>
        <v>#NAME?</v>
      </c>
      <c r="C581" s="1" t="e">
        <f t="array" aca="1" ref="C581" ca="1">_xludf.XLOOKUP(A581, 도서_정보[ID], 도서_정보[작업 페이지], "")</f>
        <v>#NAME?</v>
      </c>
      <c r="D581" s="70" t="b">
        <v>0</v>
      </c>
      <c r="E581" s="70" t="b">
        <v>0</v>
      </c>
      <c r="F581" s="79" t="b">
        <v>0</v>
      </c>
      <c r="G581" s="70" t="b">
        <v>0</v>
      </c>
      <c r="H581" s="70" t="b">
        <v>0</v>
      </c>
      <c r="I581" s="70" t="b">
        <v>0</v>
      </c>
      <c r="J581" s="70" t="b">
        <v>0</v>
      </c>
      <c r="K581" s="79" t="b">
        <v>0</v>
      </c>
      <c r="L581" s="70" t="b">
        <v>0</v>
      </c>
      <c r="M581" s="70" t="b">
        <v>0</v>
      </c>
      <c r="N581" s="1"/>
    </row>
    <row r="582" spans="1:14" ht="22.5" customHeight="1">
      <c r="A582" s="1"/>
      <c r="B582" s="1" t="e">
        <f t="array" aca="1" ref="B582" ca="1">_xludf.XLOOKUP(A582, 도서_정보[ID], 도서_정보[도서명], "")</f>
        <v>#NAME?</v>
      </c>
      <c r="C582" s="1" t="e">
        <f t="array" aca="1" ref="C582" ca="1">_xludf.XLOOKUP(A582, 도서_정보[ID], 도서_정보[작업 페이지], "")</f>
        <v>#NAME?</v>
      </c>
      <c r="D582" s="70" t="b">
        <v>0</v>
      </c>
      <c r="E582" s="70" t="b">
        <v>0</v>
      </c>
      <c r="F582" s="79" t="b">
        <v>0</v>
      </c>
      <c r="G582" s="70" t="b">
        <v>0</v>
      </c>
      <c r="H582" s="70" t="b">
        <v>0</v>
      </c>
      <c r="I582" s="70" t="b">
        <v>0</v>
      </c>
      <c r="J582" s="70" t="b">
        <v>0</v>
      </c>
      <c r="K582" s="79" t="b">
        <v>0</v>
      </c>
      <c r="L582" s="70" t="b">
        <v>0</v>
      </c>
      <c r="M582" s="70" t="b">
        <v>0</v>
      </c>
      <c r="N582" s="1"/>
    </row>
    <row r="583" spans="1:14" ht="22.5" customHeight="1">
      <c r="A583" s="1"/>
      <c r="B583" s="1" t="e">
        <f t="array" aca="1" ref="B583" ca="1">_xludf.XLOOKUP(A583, 도서_정보[ID], 도서_정보[도서명], "")</f>
        <v>#NAME?</v>
      </c>
      <c r="C583" s="1" t="e">
        <f t="array" aca="1" ref="C583" ca="1">_xludf.XLOOKUP(A583, 도서_정보[ID], 도서_정보[작업 페이지], "")</f>
        <v>#NAME?</v>
      </c>
      <c r="D583" s="70" t="b">
        <v>0</v>
      </c>
      <c r="E583" s="70" t="b">
        <v>0</v>
      </c>
      <c r="F583" s="79" t="b">
        <v>0</v>
      </c>
      <c r="G583" s="70" t="b">
        <v>0</v>
      </c>
      <c r="H583" s="70" t="b">
        <v>0</v>
      </c>
      <c r="I583" s="70" t="b">
        <v>0</v>
      </c>
      <c r="J583" s="70" t="b">
        <v>0</v>
      </c>
      <c r="K583" s="79" t="b">
        <v>0</v>
      </c>
      <c r="L583" s="70" t="b">
        <v>0</v>
      </c>
      <c r="M583" s="70" t="b">
        <v>0</v>
      </c>
      <c r="N583" s="1"/>
    </row>
    <row r="584" spans="1:14" ht="22.5" customHeight="1">
      <c r="A584" s="1"/>
      <c r="B584" s="1" t="e">
        <f t="array" aca="1" ref="B584" ca="1">_xludf.XLOOKUP(A584, 도서_정보[ID], 도서_정보[도서명], "")</f>
        <v>#NAME?</v>
      </c>
      <c r="C584" s="1" t="e">
        <f t="array" aca="1" ref="C584" ca="1">_xludf.XLOOKUP(A584, 도서_정보[ID], 도서_정보[작업 페이지], "")</f>
        <v>#NAME?</v>
      </c>
      <c r="D584" s="70" t="b">
        <v>0</v>
      </c>
      <c r="E584" s="70" t="b">
        <v>0</v>
      </c>
      <c r="F584" s="79" t="b">
        <v>0</v>
      </c>
      <c r="G584" s="70" t="b">
        <v>0</v>
      </c>
      <c r="H584" s="70" t="b">
        <v>0</v>
      </c>
      <c r="I584" s="70" t="b">
        <v>0</v>
      </c>
      <c r="J584" s="70" t="b">
        <v>0</v>
      </c>
      <c r="K584" s="79" t="b">
        <v>0</v>
      </c>
      <c r="L584" s="70" t="b">
        <v>0</v>
      </c>
      <c r="M584" s="70" t="b">
        <v>0</v>
      </c>
      <c r="N584" s="1"/>
    </row>
    <row r="585" spans="1:14" ht="22.5" customHeight="1">
      <c r="A585" s="1"/>
      <c r="B585" s="1" t="e">
        <f t="array" aca="1" ref="B585" ca="1">_xludf.XLOOKUP(A585, 도서_정보[ID], 도서_정보[도서명], "")</f>
        <v>#NAME?</v>
      </c>
      <c r="C585" s="1" t="e">
        <f t="array" aca="1" ref="C585" ca="1">_xludf.XLOOKUP(A585, 도서_정보[ID], 도서_정보[작업 페이지], "")</f>
        <v>#NAME?</v>
      </c>
      <c r="D585" s="70" t="b">
        <v>0</v>
      </c>
      <c r="E585" s="70" t="b">
        <v>0</v>
      </c>
      <c r="F585" s="79" t="b">
        <v>0</v>
      </c>
      <c r="G585" s="70" t="b">
        <v>0</v>
      </c>
      <c r="H585" s="70" t="b">
        <v>0</v>
      </c>
      <c r="I585" s="70" t="b">
        <v>0</v>
      </c>
      <c r="J585" s="70" t="b">
        <v>0</v>
      </c>
      <c r="K585" s="79" t="b">
        <v>0</v>
      </c>
      <c r="L585" s="70" t="b">
        <v>0</v>
      </c>
      <c r="M585" s="70" t="b">
        <v>0</v>
      </c>
      <c r="N585" s="1"/>
    </row>
    <row r="586" spans="1:14" ht="22.5" customHeight="1">
      <c r="A586" s="1"/>
      <c r="B586" s="1" t="e">
        <f t="array" aca="1" ref="B586" ca="1">_xludf.XLOOKUP(A586, 도서_정보[ID], 도서_정보[도서명], "")</f>
        <v>#NAME?</v>
      </c>
      <c r="C586" s="1" t="e">
        <f t="array" aca="1" ref="C586" ca="1">_xludf.XLOOKUP(A586, 도서_정보[ID], 도서_정보[작업 페이지], "")</f>
        <v>#NAME?</v>
      </c>
      <c r="D586" s="70" t="b">
        <v>0</v>
      </c>
      <c r="E586" s="70" t="b">
        <v>0</v>
      </c>
      <c r="F586" s="79" t="b">
        <v>0</v>
      </c>
      <c r="G586" s="70" t="b">
        <v>0</v>
      </c>
      <c r="H586" s="70" t="b">
        <v>0</v>
      </c>
      <c r="I586" s="70" t="b">
        <v>0</v>
      </c>
      <c r="J586" s="70" t="b">
        <v>0</v>
      </c>
      <c r="K586" s="79" t="b">
        <v>0</v>
      </c>
      <c r="L586" s="70" t="b">
        <v>0</v>
      </c>
      <c r="M586" s="70" t="b">
        <v>0</v>
      </c>
      <c r="N586" s="1"/>
    </row>
    <row r="587" spans="1:14" ht="22.5" customHeight="1">
      <c r="A587" s="1"/>
      <c r="B587" s="1" t="e">
        <f t="array" aca="1" ref="B587" ca="1">_xludf.XLOOKUP(A587, 도서_정보[ID], 도서_정보[도서명], "")</f>
        <v>#NAME?</v>
      </c>
      <c r="C587" s="1" t="e">
        <f t="array" aca="1" ref="C587" ca="1">_xludf.XLOOKUP(A587, 도서_정보[ID], 도서_정보[작업 페이지], "")</f>
        <v>#NAME?</v>
      </c>
      <c r="D587" s="70" t="b">
        <v>0</v>
      </c>
      <c r="E587" s="70" t="b">
        <v>0</v>
      </c>
      <c r="F587" s="79" t="b">
        <v>0</v>
      </c>
      <c r="G587" s="70" t="b">
        <v>0</v>
      </c>
      <c r="H587" s="70" t="b">
        <v>0</v>
      </c>
      <c r="I587" s="70" t="b">
        <v>0</v>
      </c>
      <c r="J587" s="70" t="b">
        <v>0</v>
      </c>
      <c r="K587" s="79" t="b">
        <v>0</v>
      </c>
      <c r="L587" s="70" t="b">
        <v>0</v>
      </c>
      <c r="M587" s="70" t="b">
        <v>0</v>
      </c>
      <c r="N587" s="1"/>
    </row>
    <row r="588" spans="1:14" ht="22.5" customHeight="1">
      <c r="A588" s="1"/>
      <c r="B588" s="1" t="e">
        <f t="array" aca="1" ref="B588" ca="1">_xludf.XLOOKUP(A588, 도서_정보[ID], 도서_정보[도서명], "")</f>
        <v>#NAME?</v>
      </c>
      <c r="C588" s="1" t="e">
        <f t="array" aca="1" ref="C588" ca="1">_xludf.XLOOKUP(A588, 도서_정보[ID], 도서_정보[작업 페이지], "")</f>
        <v>#NAME?</v>
      </c>
      <c r="D588" s="70" t="b">
        <v>0</v>
      </c>
      <c r="E588" s="70" t="b">
        <v>0</v>
      </c>
      <c r="F588" s="79" t="b">
        <v>0</v>
      </c>
      <c r="G588" s="70" t="b">
        <v>0</v>
      </c>
      <c r="H588" s="70" t="b">
        <v>0</v>
      </c>
      <c r="I588" s="70" t="b">
        <v>0</v>
      </c>
      <c r="J588" s="70" t="b">
        <v>0</v>
      </c>
      <c r="K588" s="79" t="b">
        <v>0</v>
      </c>
      <c r="L588" s="70" t="b">
        <v>0</v>
      </c>
      <c r="M588" s="70" t="b">
        <v>0</v>
      </c>
      <c r="N588" s="1"/>
    </row>
    <row r="589" spans="1:14" ht="22.5" customHeight="1">
      <c r="A589" s="1"/>
      <c r="B589" s="1" t="e">
        <f t="array" aca="1" ref="B589" ca="1">_xludf.XLOOKUP(A589, 도서_정보[ID], 도서_정보[도서명], "")</f>
        <v>#NAME?</v>
      </c>
      <c r="C589" s="1" t="e">
        <f t="array" aca="1" ref="C589" ca="1">_xludf.XLOOKUP(A589, 도서_정보[ID], 도서_정보[작업 페이지], "")</f>
        <v>#NAME?</v>
      </c>
      <c r="D589" s="70" t="b">
        <v>0</v>
      </c>
      <c r="E589" s="70" t="b">
        <v>0</v>
      </c>
      <c r="F589" s="79" t="b">
        <v>0</v>
      </c>
      <c r="G589" s="70" t="b">
        <v>0</v>
      </c>
      <c r="H589" s="70" t="b">
        <v>0</v>
      </c>
      <c r="I589" s="70" t="b">
        <v>0</v>
      </c>
      <c r="J589" s="70" t="b">
        <v>0</v>
      </c>
      <c r="K589" s="79" t="b">
        <v>0</v>
      </c>
      <c r="L589" s="70" t="b">
        <v>0</v>
      </c>
      <c r="M589" s="70" t="b">
        <v>0</v>
      </c>
      <c r="N589" s="1"/>
    </row>
    <row r="590" spans="1:14" ht="22.5" customHeight="1">
      <c r="A590" s="1"/>
      <c r="B590" s="1" t="e">
        <f t="array" aca="1" ref="B590" ca="1">_xludf.XLOOKUP(A590, 도서_정보[ID], 도서_정보[도서명], "")</f>
        <v>#NAME?</v>
      </c>
      <c r="C590" s="1" t="e">
        <f t="array" aca="1" ref="C590" ca="1">_xludf.XLOOKUP(A590, 도서_정보[ID], 도서_정보[작업 페이지], "")</f>
        <v>#NAME?</v>
      </c>
      <c r="D590" s="70" t="b">
        <v>0</v>
      </c>
      <c r="E590" s="70" t="b">
        <v>0</v>
      </c>
      <c r="F590" s="79" t="b">
        <v>0</v>
      </c>
      <c r="G590" s="70" t="b">
        <v>0</v>
      </c>
      <c r="H590" s="70" t="b">
        <v>0</v>
      </c>
      <c r="I590" s="70" t="b">
        <v>0</v>
      </c>
      <c r="J590" s="70" t="b">
        <v>0</v>
      </c>
      <c r="K590" s="79" t="b">
        <v>0</v>
      </c>
      <c r="L590" s="70" t="b">
        <v>0</v>
      </c>
      <c r="M590" s="70" t="b">
        <v>0</v>
      </c>
      <c r="N590" s="1"/>
    </row>
    <row r="591" spans="1:14" ht="22.5" customHeight="1">
      <c r="A591" s="1"/>
      <c r="B591" s="1" t="e">
        <f t="array" aca="1" ref="B591" ca="1">_xludf.XLOOKUP(A591, 도서_정보[ID], 도서_정보[도서명], "")</f>
        <v>#NAME?</v>
      </c>
      <c r="C591" s="1" t="e">
        <f t="array" aca="1" ref="C591" ca="1">_xludf.XLOOKUP(A591, 도서_정보[ID], 도서_정보[작업 페이지], "")</f>
        <v>#NAME?</v>
      </c>
      <c r="D591" s="70" t="b">
        <v>0</v>
      </c>
      <c r="E591" s="70" t="b">
        <v>0</v>
      </c>
      <c r="F591" s="79" t="b">
        <v>0</v>
      </c>
      <c r="G591" s="70" t="b">
        <v>0</v>
      </c>
      <c r="H591" s="70" t="b">
        <v>0</v>
      </c>
      <c r="I591" s="70" t="b">
        <v>0</v>
      </c>
      <c r="J591" s="70" t="b">
        <v>0</v>
      </c>
      <c r="K591" s="79" t="b">
        <v>0</v>
      </c>
      <c r="L591" s="70" t="b">
        <v>0</v>
      </c>
      <c r="M591" s="70" t="b">
        <v>0</v>
      </c>
      <c r="N591" s="1"/>
    </row>
    <row r="592" spans="1:14" ht="22.5" customHeight="1">
      <c r="A592" s="1"/>
      <c r="B592" s="1" t="e">
        <f t="array" aca="1" ref="B592" ca="1">_xludf.XLOOKUP(A592, 도서_정보[ID], 도서_정보[도서명], "")</f>
        <v>#NAME?</v>
      </c>
      <c r="C592" s="1" t="e">
        <f t="array" aca="1" ref="C592" ca="1">_xludf.XLOOKUP(A592, 도서_정보[ID], 도서_정보[작업 페이지], "")</f>
        <v>#NAME?</v>
      </c>
      <c r="D592" s="70" t="b">
        <v>0</v>
      </c>
      <c r="E592" s="70" t="b">
        <v>0</v>
      </c>
      <c r="F592" s="79" t="b">
        <v>0</v>
      </c>
      <c r="G592" s="70" t="b">
        <v>0</v>
      </c>
      <c r="H592" s="70" t="b">
        <v>0</v>
      </c>
      <c r="I592" s="70" t="b">
        <v>0</v>
      </c>
      <c r="J592" s="70" t="b">
        <v>0</v>
      </c>
      <c r="K592" s="79" t="b">
        <v>0</v>
      </c>
      <c r="L592" s="70" t="b">
        <v>0</v>
      </c>
      <c r="M592" s="70" t="b">
        <v>0</v>
      </c>
      <c r="N592" s="1"/>
    </row>
    <row r="593" spans="1:14" ht="22.5" customHeight="1">
      <c r="A593" s="1"/>
      <c r="B593" s="1" t="e">
        <f t="array" aca="1" ref="B593" ca="1">_xludf.XLOOKUP(A593, 도서_정보[ID], 도서_정보[도서명], "")</f>
        <v>#NAME?</v>
      </c>
      <c r="C593" s="1" t="e">
        <f t="array" aca="1" ref="C593" ca="1">_xludf.XLOOKUP(A593, 도서_정보[ID], 도서_정보[작업 페이지], "")</f>
        <v>#NAME?</v>
      </c>
      <c r="D593" s="70" t="b">
        <v>0</v>
      </c>
      <c r="E593" s="70" t="b">
        <v>0</v>
      </c>
      <c r="F593" s="79" t="b">
        <v>0</v>
      </c>
      <c r="G593" s="70" t="b">
        <v>0</v>
      </c>
      <c r="H593" s="70" t="b">
        <v>0</v>
      </c>
      <c r="I593" s="70" t="b">
        <v>0</v>
      </c>
      <c r="J593" s="70" t="b">
        <v>0</v>
      </c>
      <c r="K593" s="79" t="b">
        <v>0</v>
      </c>
      <c r="L593" s="70" t="b">
        <v>0</v>
      </c>
      <c r="M593" s="70" t="b">
        <v>0</v>
      </c>
      <c r="N593" s="1"/>
    </row>
    <row r="594" spans="1:14" ht="22.5" customHeight="1">
      <c r="A594" s="1"/>
      <c r="B594" s="1" t="e">
        <f t="array" aca="1" ref="B594" ca="1">_xludf.XLOOKUP(A594, 도서_정보[ID], 도서_정보[도서명], "")</f>
        <v>#NAME?</v>
      </c>
      <c r="C594" s="1" t="e">
        <f t="array" aca="1" ref="C594" ca="1">_xludf.XLOOKUP(A594, 도서_정보[ID], 도서_정보[작업 페이지], "")</f>
        <v>#NAME?</v>
      </c>
      <c r="D594" s="70" t="b">
        <v>0</v>
      </c>
      <c r="E594" s="70" t="b">
        <v>0</v>
      </c>
      <c r="F594" s="79" t="b">
        <v>0</v>
      </c>
      <c r="G594" s="70" t="b">
        <v>0</v>
      </c>
      <c r="H594" s="70" t="b">
        <v>0</v>
      </c>
      <c r="I594" s="70" t="b">
        <v>0</v>
      </c>
      <c r="J594" s="70" t="b">
        <v>0</v>
      </c>
      <c r="K594" s="79" t="b">
        <v>0</v>
      </c>
      <c r="L594" s="70" t="b">
        <v>0</v>
      </c>
      <c r="M594" s="70" t="b">
        <v>0</v>
      </c>
      <c r="N594" s="1"/>
    </row>
    <row r="595" spans="1:14" ht="22.5" customHeight="1">
      <c r="A595" s="1"/>
      <c r="B595" s="1" t="e">
        <f t="array" aca="1" ref="B595" ca="1">_xludf.XLOOKUP(A595, 도서_정보[ID], 도서_정보[도서명], "")</f>
        <v>#NAME?</v>
      </c>
      <c r="C595" s="1" t="e">
        <f t="array" aca="1" ref="C595" ca="1">_xludf.XLOOKUP(A595, 도서_정보[ID], 도서_정보[작업 페이지], "")</f>
        <v>#NAME?</v>
      </c>
      <c r="D595" s="70" t="b">
        <v>0</v>
      </c>
      <c r="E595" s="70" t="b">
        <v>0</v>
      </c>
      <c r="F595" s="79" t="b">
        <v>0</v>
      </c>
      <c r="G595" s="70" t="b">
        <v>0</v>
      </c>
      <c r="H595" s="70" t="b">
        <v>0</v>
      </c>
      <c r="I595" s="70" t="b">
        <v>0</v>
      </c>
      <c r="J595" s="70" t="b">
        <v>0</v>
      </c>
      <c r="K595" s="79" t="b">
        <v>0</v>
      </c>
      <c r="L595" s="70" t="b">
        <v>0</v>
      </c>
      <c r="M595" s="70" t="b">
        <v>0</v>
      </c>
      <c r="N595" s="1"/>
    </row>
    <row r="596" spans="1:14" ht="22.5" customHeight="1">
      <c r="A596" s="1"/>
      <c r="B596" s="1" t="e">
        <f t="array" aca="1" ref="B596" ca="1">_xludf.XLOOKUP(A596, 도서_정보[ID], 도서_정보[도서명], "")</f>
        <v>#NAME?</v>
      </c>
      <c r="C596" s="1" t="e">
        <f t="array" aca="1" ref="C596" ca="1">_xludf.XLOOKUP(A596, 도서_정보[ID], 도서_정보[작업 페이지], "")</f>
        <v>#NAME?</v>
      </c>
      <c r="D596" s="70" t="b">
        <v>0</v>
      </c>
      <c r="E596" s="70" t="b">
        <v>0</v>
      </c>
      <c r="F596" s="79" t="b">
        <v>0</v>
      </c>
      <c r="G596" s="70" t="b">
        <v>0</v>
      </c>
      <c r="H596" s="70" t="b">
        <v>0</v>
      </c>
      <c r="I596" s="70" t="b">
        <v>0</v>
      </c>
      <c r="J596" s="70" t="b">
        <v>0</v>
      </c>
      <c r="K596" s="79" t="b">
        <v>0</v>
      </c>
      <c r="L596" s="70" t="b">
        <v>0</v>
      </c>
      <c r="M596" s="70" t="b">
        <v>0</v>
      </c>
      <c r="N596" s="1"/>
    </row>
    <row r="597" spans="1:14" ht="22.5" customHeight="1">
      <c r="A597" s="1"/>
      <c r="B597" s="1" t="e">
        <f t="array" aca="1" ref="B597" ca="1">_xludf.XLOOKUP(A597, 도서_정보[ID], 도서_정보[도서명], "")</f>
        <v>#NAME?</v>
      </c>
      <c r="C597" s="1" t="e">
        <f t="array" aca="1" ref="C597" ca="1">_xludf.XLOOKUP(A597, 도서_정보[ID], 도서_정보[작업 페이지], "")</f>
        <v>#NAME?</v>
      </c>
      <c r="D597" s="70" t="b">
        <v>0</v>
      </c>
      <c r="E597" s="70" t="b">
        <v>0</v>
      </c>
      <c r="F597" s="79" t="b">
        <v>0</v>
      </c>
      <c r="G597" s="70" t="b">
        <v>0</v>
      </c>
      <c r="H597" s="70" t="b">
        <v>0</v>
      </c>
      <c r="I597" s="70" t="b">
        <v>0</v>
      </c>
      <c r="J597" s="70" t="b">
        <v>0</v>
      </c>
      <c r="K597" s="79" t="b">
        <v>0</v>
      </c>
      <c r="L597" s="70" t="b">
        <v>0</v>
      </c>
      <c r="M597" s="70" t="b">
        <v>0</v>
      </c>
      <c r="N597" s="1"/>
    </row>
    <row r="598" spans="1:14" ht="22.5" customHeight="1">
      <c r="A598" s="1"/>
      <c r="B598" s="1" t="e">
        <f t="array" aca="1" ref="B598" ca="1">_xludf.XLOOKUP(A598, 도서_정보[ID], 도서_정보[도서명], "")</f>
        <v>#NAME?</v>
      </c>
      <c r="C598" s="1" t="e">
        <f t="array" aca="1" ref="C598" ca="1">_xludf.XLOOKUP(A598, 도서_정보[ID], 도서_정보[작업 페이지], "")</f>
        <v>#NAME?</v>
      </c>
      <c r="D598" s="70" t="b">
        <v>0</v>
      </c>
      <c r="E598" s="70" t="b">
        <v>0</v>
      </c>
      <c r="F598" s="79" t="b">
        <v>0</v>
      </c>
      <c r="G598" s="70" t="b">
        <v>0</v>
      </c>
      <c r="H598" s="70" t="b">
        <v>0</v>
      </c>
      <c r="I598" s="70" t="b">
        <v>0</v>
      </c>
      <c r="J598" s="70" t="b">
        <v>0</v>
      </c>
      <c r="K598" s="79" t="b">
        <v>0</v>
      </c>
      <c r="L598" s="70" t="b">
        <v>0</v>
      </c>
      <c r="M598" s="70" t="b">
        <v>0</v>
      </c>
      <c r="N598" s="1"/>
    </row>
    <row r="599" spans="1:14" ht="22.5" customHeight="1">
      <c r="A599" s="1"/>
      <c r="B599" s="1" t="e">
        <f t="array" aca="1" ref="B599" ca="1">_xludf.XLOOKUP(A599, 도서_정보[ID], 도서_정보[도서명], "")</f>
        <v>#NAME?</v>
      </c>
      <c r="C599" s="1" t="e">
        <f t="array" aca="1" ref="C599" ca="1">_xludf.XLOOKUP(A599, 도서_정보[ID], 도서_정보[작업 페이지], "")</f>
        <v>#NAME?</v>
      </c>
      <c r="D599" s="70" t="b">
        <v>0</v>
      </c>
      <c r="E599" s="70" t="b">
        <v>0</v>
      </c>
      <c r="F599" s="79" t="b">
        <v>0</v>
      </c>
      <c r="G599" s="70" t="b">
        <v>0</v>
      </c>
      <c r="H599" s="70" t="b">
        <v>0</v>
      </c>
      <c r="I599" s="70" t="b">
        <v>0</v>
      </c>
      <c r="J599" s="70" t="b">
        <v>0</v>
      </c>
      <c r="K599" s="79" t="b">
        <v>0</v>
      </c>
      <c r="L599" s="70" t="b">
        <v>0</v>
      </c>
      <c r="M599" s="70" t="b">
        <v>0</v>
      </c>
      <c r="N599" s="1"/>
    </row>
    <row r="600" spans="1:14" ht="22.5" customHeight="1">
      <c r="A600" s="1"/>
      <c r="B600" s="1" t="e">
        <f t="array" aca="1" ref="B600" ca="1">_xludf.XLOOKUP(A600, 도서_정보[ID], 도서_정보[도서명], "")</f>
        <v>#NAME?</v>
      </c>
      <c r="C600" s="1" t="e">
        <f t="array" aca="1" ref="C600" ca="1">_xludf.XLOOKUP(A600, 도서_정보[ID], 도서_정보[작업 페이지], "")</f>
        <v>#NAME?</v>
      </c>
      <c r="D600" s="70" t="b">
        <v>0</v>
      </c>
      <c r="E600" s="70" t="b">
        <v>0</v>
      </c>
      <c r="F600" s="79" t="b">
        <v>0</v>
      </c>
      <c r="G600" s="70" t="b">
        <v>0</v>
      </c>
      <c r="H600" s="70" t="b">
        <v>0</v>
      </c>
      <c r="I600" s="70" t="b">
        <v>0</v>
      </c>
      <c r="J600" s="70" t="b">
        <v>0</v>
      </c>
      <c r="K600" s="79" t="b">
        <v>0</v>
      </c>
      <c r="L600" s="70" t="b">
        <v>0</v>
      </c>
      <c r="M600" s="70" t="b">
        <v>0</v>
      </c>
      <c r="N600" s="1"/>
    </row>
    <row r="601" spans="1:14" ht="22.5" customHeight="1">
      <c r="A601" s="1"/>
      <c r="B601" s="1" t="e">
        <f t="array" aca="1" ref="B601" ca="1">_xludf.XLOOKUP(A601, 도서_정보[ID], 도서_정보[도서명], "")</f>
        <v>#NAME?</v>
      </c>
      <c r="C601" s="1" t="e">
        <f t="array" aca="1" ref="C601" ca="1">_xludf.XLOOKUP(A601, 도서_정보[ID], 도서_정보[작업 페이지], "")</f>
        <v>#NAME?</v>
      </c>
      <c r="D601" s="70" t="b">
        <v>0</v>
      </c>
      <c r="E601" s="70" t="b">
        <v>0</v>
      </c>
      <c r="F601" s="79" t="b">
        <v>0</v>
      </c>
      <c r="G601" s="70" t="b">
        <v>0</v>
      </c>
      <c r="H601" s="70" t="b">
        <v>0</v>
      </c>
      <c r="I601" s="70" t="b">
        <v>0</v>
      </c>
      <c r="J601" s="70" t="b">
        <v>0</v>
      </c>
      <c r="K601" s="79" t="b">
        <v>0</v>
      </c>
      <c r="L601" s="70" t="b">
        <v>0</v>
      </c>
      <c r="M601" s="70" t="b">
        <v>0</v>
      </c>
      <c r="N601" s="1"/>
    </row>
    <row r="602" spans="1:14" ht="22.5" customHeight="1">
      <c r="A602" s="1"/>
      <c r="B602" s="1" t="e">
        <f t="array" aca="1" ref="B602" ca="1">_xludf.XLOOKUP(A602, 도서_정보[ID], 도서_정보[도서명], "")</f>
        <v>#NAME?</v>
      </c>
      <c r="C602" s="1" t="e">
        <f t="array" aca="1" ref="C602" ca="1">_xludf.XLOOKUP(A602, 도서_정보[ID], 도서_정보[작업 페이지], "")</f>
        <v>#NAME?</v>
      </c>
      <c r="D602" s="70" t="b">
        <v>0</v>
      </c>
      <c r="E602" s="70" t="b">
        <v>0</v>
      </c>
      <c r="F602" s="79" t="b">
        <v>0</v>
      </c>
      <c r="G602" s="70" t="b">
        <v>0</v>
      </c>
      <c r="H602" s="70" t="b">
        <v>0</v>
      </c>
      <c r="I602" s="70" t="b">
        <v>0</v>
      </c>
      <c r="J602" s="70" t="b">
        <v>0</v>
      </c>
      <c r="K602" s="79" t="b">
        <v>0</v>
      </c>
      <c r="L602" s="70" t="b">
        <v>0</v>
      </c>
      <c r="M602" s="70" t="b">
        <v>0</v>
      </c>
      <c r="N602" s="1"/>
    </row>
    <row r="603" spans="1:14" ht="22.5" customHeight="1">
      <c r="A603" s="1"/>
      <c r="B603" s="1" t="e">
        <f t="array" aca="1" ref="B603" ca="1">_xludf.XLOOKUP(A603, 도서_정보[ID], 도서_정보[도서명], "")</f>
        <v>#NAME?</v>
      </c>
      <c r="C603" s="1" t="e">
        <f t="array" aca="1" ref="C603" ca="1">_xludf.XLOOKUP(A603, 도서_정보[ID], 도서_정보[작업 페이지], "")</f>
        <v>#NAME?</v>
      </c>
      <c r="D603" s="70" t="b">
        <v>0</v>
      </c>
      <c r="E603" s="70" t="b">
        <v>0</v>
      </c>
      <c r="F603" s="79" t="b">
        <v>0</v>
      </c>
      <c r="G603" s="70" t="b">
        <v>0</v>
      </c>
      <c r="H603" s="70" t="b">
        <v>0</v>
      </c>
      <c r="I603" s="70" t="b">
        <v>0</v>
      </c>
      <c r="J603" s="70" t="b">
        <v>0</v>
      </c>
      <c r="K603" s="79" t="b">
        <v>0</v>
      </c>
      <c r="L603" s="70" t="b">
        <v>0</v>
      </c>
      <c r="M603" s="70" t="b">
        <v>0</v>
      </c>
      <c r="N603" s="1"/>
    </row>
    <row r="604" spans="1:14" ht="22.5" customHeight="1">
      <c r="A604" s="1"/>
      <c r="B604" s="1" t="e">
        <f t="array" aca="1" ref="B604" ca="1">_xludf.XLOOKUP(A604, 도서_정보[ID], 도서_정보[도서명], "")</f>
        <v>#NAME?</v>
      </c>
      <c r="C604" s="1" t="e">
        <f t="array" aca="1" ref="C604" ca="1">_xludf.XLOOKUP(A604, 도서_정보[ID], 도서_정보[작업 페이지], "")</f>
        <v>#NAME?</v>
      </c>
      <c r="D604" s="70" t="b">
        <v>0</v>
      </c>
      <c r="E604" s="70" t="b">
        <v>0</v>
      </c>
      <c r="F604" s="79" t="b">
        <v>0</v>
      </c>
      <c r="G604" s="70" t="b">
        <v>0</v>
      </c>
      <c r="H604" s="70" t="b">
        <v>0</v>
      </c>
      <c r="I604" s="70" t="b">
        <v>0</v>
      </c>
      <c r="J604" s="70" t="b">
        <v>0</v>
      </c>
      <c r="K604" s="79" t="b">
        <v>0</v>
      </c>
      <c r="L604" s="70" t="b">
        <v>0</v>
      </c>
      <c r="M604" s="70" t="b">
        <v>0</v>
      </c>
      <c r="N604" s="1"/>
    </row>
    <row r="605" spans="1:14" ht="22.5" customHeight="1">
      <c r="A605" s="1"/>
      <c r="B605" s="1" t="e">
        <f t="array" aca="1" ref="B605" ca="1">_xludf.XLOOKUP(A605, 도서_정보[ID], 도서_정보[도서명], "")</f>
        <v>#NAME?</v>
      </c>
      <c r="C605" s="1" t="e">
        <f t="array" aca="1" ref="C605" ca="1">_xludf.XLOOKUP(A605, 도서_정보[ID], 도서_정보[작업 페이지], "")</f>
        <v>#NAME?</v>
      </c>
      <c r="D605" s="70" t="b">
        <v>0</v>
      </c>
      <c r="E605" s="70" t="b">
        <v>0</v>
      </c>
      <c r="F605" s="79" t="b">
        <v>0</v>
      </c>
      <c r="G605" s="70" t="b">
        <v>0</v>
      </c>
      <c r="H605" s="70" t="b">
        <v>0</v>
      </c>
      <c r="I605" s="70" t="b">
        <v>0</v>
      </c>
      <c r="J605" s="70" t="b">
        <v>0</v>
      </c>
      <c r="K605" s="79" t="b">
        <v>0</v>
      </c>
      <c r="L605" s="70" t="b">
        <v>0</v>
      </c>
      <c r="M605" s="70" t="b">
        <v>0</v>
      </c>
      <c r="N605" s="1"/>
    </row>
    <row r="606" spans="1:14" ht="22.5" customHeight="1">
      <c r="A606" s="1"/>
      <c r="B606" s="1" t="e">
        <f t="array" aca="1" ref="B606" ca="1">_xludf.XLOOKUP(A606, 도서_정보[ID], 도서_정보[도서명], "")</f>
        <v>#NAME?</v>
      </c>
      <c r="C606" s="1" t="e">
        <f t="array" aca="1" ref="C606" ca="1">_xludf.XLOOKUP(A606, 도서_정보[ID], 도서_정보[작업 페이지], "")</f>
        <v>#NAME?</v>
      </c>
      <c r="D606" s="70" t="b">
        <v>0</v>
      </c>
      <c r="E606" s="70" t="b">
        <v>0</v>
      </c>
      <c r="F606" s="79" t="b">
        <v>0</v>
      </c>
      <c r="G606" s="70" t="b">
        <v>0</v>
      </c>
      <c r="H606" s="70" t="b">
        <v>0</v>
      </c>
      <c r="I606" s="70" t="b">
        <v>0</v>
      </c>
      <c r="J606" s="70" t="b">
        <v>0</v>
      </c>
      <c r="K606" s="79" t="b">
        <v>0</v>
      </c>
      <c r="L606" s="70" t="b">
        <v>0</v>
      </c>
      <c r="M606" s="70" t="b">
        <v>0</v>
      </c>
      <c r="N606" s="1"/>
    </row>
    <row r="607" spans="1:14" ht="22.5" customHeight="1">
      <c r="A607" s="1"/>
      <c r="B607" s="1" t="e">
        <f t="array" aca="1" ref="B607" ca="1">_xludf.XLOOKUP(A607, 도서_정보[ID], 도서_정보[도서명], "")</f>
        <v>#NAME?</v>
      </c>
      <c r="C607" s="1" t="e">
        <f t="array" aca="1" ref="C607" ca="1">_xludf.XLOOKUP(A607, 도서_정보[ID], 도서_정보[작업 페이지], "")</f>
        <v>#NAME?</v>
      </c>
      <c r="D607" s="70" t="b">
        <v>0</v>
      </c>
      <c r="E607" s="70" t="b">
        <v>0</v>
      </c>
      <c r="F607" s="79" t="b">
        <v>0</v>
      </c>
      <c r="G607" s="70" t="b">
        <v>0</v>
      </c>
      <c r="H607" s="70" t="b">
        <v>0</v>
      </c>
      <c r="I607" s="70" t="b">
        <v>0</v>
      </c>
      <c r="J607" s="70" t="b">
        <v>0</v>
      </c>
      <c r="K607" s="79" t="b">
        <v>0</v>
      </c>
      <c r="L607" s="70" t="b">
        <v>0</v>
      </c>
      <c r="M607" s="70" t="b">
        <v>0</v>
      </c>
      <c r="N607" s="1"/>
    </row>
    <row r="608" spans="1:14" ht="22.5" customHeight="1">
      <c r="A608" s="1"/>
      <c r="B608" s="1" t="e">
        <f t="array" aca="1" ref="B608" ca="1">_xludf.XLOOKUP(A608, 도서_정보[ID], 도서_정보[도서명], "")</f>
        <v>#NAME?</v>
      </c>
      <c r="C608" s="1" t="e">
        <f t="array" aca="1" ref="C608" ca="1">_xludf.XLOOKUP(A608, 도서_정보[ID], 도서_정보[작업 페이지], "")</f>
        <v>#NAME?</v>
      </c>
      <c r="D608" s="70" t="b">
        <v>0</v>
      </c>
      <c r="E608" s="70" t="b">
        <v>0</v>
      </c>
      <c r="F608" s="79" t="b">
        <v>0</v>
      </c>
      <c r="G608" s="70" t="b">
        <v>0</v>
      </c>
      <c r="H608" s="70" t="b">
        <v>0</v>
      </c>
      <c r="I608" s="70" t="b">
        <v>0</v>
      </c>
      <c r="J608" s="70" t="b">
        <v>0</v>
      </c>
      <c r="K608" s="79" t="b">
        <v>0</v>
      </c>
      <c r="L608" s="70" t="b">
        <v>0</v>
      </c>
      <c r="M608" s="70" t="b">
        <v>0</v>
      </c>
      <c r="N608" s="1"/>
    </row>
    <row r="609" spans="1:14" ht="22.5" customHeight="1">
      <c r="A609" s="1"/>
      <c r="B609" s="1" t="e">
        <f t="array" aca="1" ref="B609" ca="1">_xludf.XLOOKUP(A609, 도서_정보[ID], 도서_정보[도서명], "")</f>
        <v>#NAME?</v>
      </c>
      <c r="C609" s="1" t="e">
        <f t="array" aca="1" ref="C609" ca="1">_xludf.XLOOKUP(A609, 도서_정보[ID], 도서_정보[작업 페이지], "")</f>
        <v>#NAME?</v>
      </c>
      <c r="D609" s="70" t="b">
        <v>0</v>
      </c>
      <c r="E609" s="70" t="b">
        <v>0</v>
      </c>
      <c r="F609" s="79" t="b">
        <v>0</v>
      </c>
      <c r="G609" s="70" t="b">
        <v>0</v>
      </c>
      <c r="H609" s="70" t="b">
        <v>0</v>
      </c>
      <c r="I609" s="70" t="b">
        <v>0</v>
      </c>
      <c r="J609" s="70" t="b">
        <v>0</v>
      </c>
      <c r="K609" s="79" t="b">
        <v>0</v>
      </c>
      <c r="L609" s="70" t="b">
        <v>0</v>
      </c>
      <c r="M609" s="70" t="b">
        <v>0</v>
      </c>
      <c r="N609" s="1"/>
    </row>
  </sheetData>
  <phoneticPr fontId="43" type="noConversion"/>
  <dataValidations count="2">
    <dataValidation type="custom" allowBlank="1" showDropDown="1" sqref="C2:C609" xr:uid="{00000000-0002-0000-0600-000000000000}">
      <formula1>AND(ISNUMBER(C2),(NOT(OR(NOT(ISERROR(DATEVALUE(C2))), AND(ISNUMBER(C2), LEFT(CELL("format", C2))="D")))))</formula1>
    </dataValidation>
    <dataValidation type="list" allowBlank="1" sqref="N2:N609" xr:uid="{00000000-0002-0000-0600-000001000000}">
      <formula1>#REF!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P26"/>
  <sheetViews>
    <sheetView workbookViewId="0"/>
  </sheetViews>
  <sheetFormatPr defaultColWidth="11.25" defaultRowHeight="15.75" customHeight="1"/>
  <cols>
    <col min="1" max="1" width="6.25" customWidth="1"/>
    <col min="2" max="2" width="9.125" customWidth="1"/>
  </cols>
  <sheetData>
    <row r="2" spans="2:16">
      <c r="B2" s="132" t="s">
        <v>320</v>
      </c>
      <c r="C2" s="124"/>
      <c r="D2" s="80">
        <v>10320</v>
      </c>
    </row>
    <row r="4" spans="2:16">
      <c r="B4" s="133" t="s">
        <v>321</v>
      </c>
      <c r="C4" s="134"/>
      <c r="D4" s="134"/>
      <c r="E4" s="134"/>
      <c r="F4" s="134"/>
      <c r="G4" s="135"/>
      <c r="J4" s="139" t="s">
        <v>322</v>
      </c>
      <c r="K4" s="134"/>
      <c r="L4" s="134"/>
      <c r="M4" s="134"/>
      <c r="N4" s="134"/>
      <c r="O4" s="135"/>
    </row>
    <row r="5" spans="2:16">
      <c r="B5" s="136"/>
      <c r="C5" s="137"/>
      <c r="D5" s="137"/>
      <c r="E5" s="137"/>
      <c r="F5" s="137"/>
      <c r="G5" s="138"/>
      <c r="J5" s="136"/>
      <c r="K5" s="137"/>
      <c r="L5" s="137"/>
      <c r="M5" s="137"/>
      <c r="N5" s="137"/>
      <c r="O5" s="138"/>
    </row>
    <row r="7" spans="2:16" ht="15.75" customHeight="1">
      <c r="B7" s="140" t="s">
        <v>323</v>
      </c>
      <c r="C7" s="141"/>
      <c r="D7" s="141"/>
      <c r="E7" s="141"/>
      <c r="F7" s="141"/>
      <c r="G7" s="112"/>
      <c r="H7" s="81"/>
      <c r="J7" s="142" t="s">
        <v>324</v>
      </c>
      <c r="K7" s="141"/>
      <c r="L7" s="141"/>
      <c r="M7" s="141"/>
      <c r="N7" s="141"/>
      <c r="O7" s="112"/>
      <c r="P7" s="81"/>
    </row>
    <row r="8" spans="2:16" ht="15.75" customHeight="1">
      <c r="B8" s="82" t="s">
        <v>126</v>
      </c>
      <c r="C8" s="82" t="s">
        <v>325</v>
      </c>
      <c r="D8" s="82" t="s">
        <v>326</v>
      </c>
      <c r="E8" s="82" t="s">
        <v>327</v>
      </c>
      <c r="F8" s="82" t="s">
        <v>328</v>
      </c>
      <c r="G8" s="83" t="s">
        <v>329</v>
      </c>
      <c r="H8" s="84"/>
      <c r="J8" s="82" t="s">
        <v>126</v>
      </c>
      <c r="K8" s="82" t="s">
        <v>325</v>
      </c>
      <c r="L8" s="82" t="s">
        <v>326</v>
      </c>
      <c r="M8" s="82" t="s">
        <v>327</v>
      </c>
      <c r="N8" s="82" t="s">
        <v>328</v>
      </c>
      <c r="O8" s="83" t="s">
        <v>329</v>
      </c>
      <c r="P8" s="81"/>
    </row>
    <row r="9" spans="2:16">
      <c r="B9" s="85" t="s">
        <v>330</v>
      </c>
      <c r="C9" s="86"/>
      <c r="D9" s="87"/>
      <c r="E9" s="88">
        <v>10</v>
      </c>
      <c r="F9" s="89">
        <v>200</v>
      </c>
      <c r="G9" s="90">
        <f t="shared" ref="G9:G23" si="0">$D$2/3600/(F9/E9)</f>
        <v>0.14333333333333334</v>
      </c>
      <c r="H9" s="81"/>
      <c r="J9" s="85" t="s">
        <v>330</v>
      </c>
      <c r="K9" s="86"/>
      <c r="L9" s="87"/>
      <c r="M9" s="88">
        <v>10</v>
      </c>
      <c r="N9" s="89">
        <v>200</v>
      </c>
      <c r="O9" s="90">
        <f t="shared" ref="O9:O12" si="1">$D$2/3600/(N9/M9)</f>
        <v>0.14333333333333334</v>
      </c>
      <c r="P9" s="81"/>
    </row>
    <row r="10" spans="2:16">
      <c r="B10" s="91"/>
      <c r="C10" s="92"/>
      <c r="D10" s="93"/>
      <c r="E10" s="94">
        <v>12</v>
      </c>
      <c r="F10" s="87">
        <v>200</v>
      </c>
      <c r="G10" s="90">
        <f t="shared" si="0"/>
        <v>0.17199999999999999</v>
      </c>
      <c r="H10" s="81"/>
      <c r="J10" s="91"/>
      <c r="K10" s="92"/>
      <c r="L10" s="93"/>
      <c r="M10" s="94"/>
      <c r="N10" s="87"/>
      <c r="O10" s="90" t="e">
        <f t="shared" si="1"/>
        <v>#DIV/0!</v>
      </c>
      <c r="P10" s="95"/>
    </row>
    <row r="11" spans="2:16">
      <c r="B11" s="96"/>
      <c r="C11" s="97"/>
      <c r="D11" s="98"/>
      <c r="E11" s="94">
        <v>9</v>
      </c>
      <c r="F11" s="98">
        <v>200</v>
      </c>
      <c r="G11" s="99">
        <f t="shared" si="0"/>
        <v>0.129</v>
      </c>
      <c r="H11" s="100">
        <f ca="1">IFERROR(__xludf.DUMMYFUNCTION("AVERAGE(FILTER(G9:G11,ISNUMBER(G9:G11)))"),56.2716049382716)</f>
        <v>56.271604938271601</v>
      </c>
      <c r="J11" s="91"/>
      <c r="K11" s="92"/>
      <c r="L11" s="93"/>
      <c r="M11" s="94"/>
      <c r="N11" s="87"/>
      <c r="O11" s="90" t="e">
        <f t="shared" si="1"/>
        <v>#DIV/0!</v>
      </c>
    </row>
    <row r="12" spans="2:16">
      <c r="B12" s="85"/>
      <c r="C12" s="89"/>
      <c r="D12" s="101"/>
      <c r="E12" s="88"/>
      <c r="F12" s="89"/>
      <c r="G12" s="90" t="e">
        <f t="shared" si="0"/>
        <v>#DIV/0!</v>
      </c>
      <c r="H12" s="81"/>
      <c r="J12" s="96"/>
      <c r="K12" s="97"/>
      <c r="L12" s="98"/>
      <c r="M12" s="102"/>
      <c r="N12" s="98"/>
      <c r="O12" s="99" t="e">
        <f t="shared" si="1"/>
        <v>#DIV/0!</v>
      </c>
      <c r="P12" s="100">
        <f ca="1">IFERROR(__xludf.DUMMYFUNCTION("AVERAGE(FILTER(O9:O12,ISNUMBER(O9:O12)))"),57.3333333333333)</f>
        <v>57.3333333333333</v>
      </c>
    </row>
    <row r="13" spans="2:16">
      <c r="B13" s="103"/>
      <c r="C13" s="104"/>
      <c r="D13" s="87"/>
      <c r="E13" s="94"/>
      <c r="F13" s="87"/>
      <c r="G13" s="90" t="e">
        <f t="shared" si="0"/>
        <v>#DIV/0!</v>
      </c>
      <c r="H13" s="81"/>
    </row>
    <row r="14" spans="2:16">
      <c r="B14" s="105"/>
      <c r="C14" s="104"/>
      <c r="D14" s="87"/>
      <c r="E14" s="94"/>
      <c r="F14" s="87"/>
      <c r="G14" s="99" t="e">
        <f t="shared" si="0"/>
        <v>#DIV/0!</v>
      </c>
      <c r="H14" s="100" t="str">
        <f ca="1">IFERROR(__xludf.DUMMYFUNCTION("AVERAGE(FILTER(G12:G14,ISNUMBER(G12:G14)))"),"#N/A")</f>
        <v>#N/A</v>
      </c>
    </row>
    <row r="15" spans="2:16">
      <c r="B15" s="85"/>
      <c r="C15" s="106"/>
      <c r="D15" s="101"/>
      <c r="E15" s="88"/>
      <c r="F15" s="89"/>
      <c r="G15" s="90" t="e">
        <f t="shared" si="0"/>
        <v>#DIV/0!</v>
      </c>
      <c r="H15" s="81"/>
    </row>
    <row r="16" spans="2:16">
      <c r="B16" s="91"/>
      <c r="C16" s="104"/>
      <c r="D16" s="87"/>
      <c r="E16" s="94"/>
      <c r="F16" s="87"/>
      <c r="G16" s="90" t="e">
        <f t="shared" si="0"/>
        <v>#DIV/0!</v>
      </c>
      <c r="H16" s="81"/>
    </row>
    <row r="17" spans="2:8">
      <c r="B17" s="96"/>
      <c r="C17" s="107"/>
      <c r="D17" s="87"/>
      <c r="E17" s="94"/>
      <c r="F17" s="98"/>
      <c r="G17" s="99" t="e">
        <f t="shared" si="0"/>
        <v>#DIV/0!</v>
      </c>
      <c r="H17" s="100" t="str">
        <f ca="1">IFERROR(__xludf.DUMMYFUNCTION("AVERAGE(FILTER(G15:G17,ISNUMBER(G15:G17)))"),"#N/A")</f>
        <v>#N/A</v>
      </c>
    </row>
    <row r="18" spans="2:8">
      <c r="B18" s="85"/>
      <c r="C18" s="106"/>
      <c r="D18" s="89"/>
      <c r="E18" s="88"/>
      <c r="F18" s="89"/>
      <c r="G18" s="90" t="e">
        <f t="shared" si="0"/>
        <v>#DIV/0!</v>
      </c>
      <c r="H18" s="108"/>
    </row>
    <row r="19" spans="2:8">
      <c r="B19" s="91"/>
      <c r="C19" s="104"/>
      <c r="D19" s="87"/>
      <c r="E19" s="94"/>
      <c r="F19" s="87"/>
      <c r="G19" s="90" t="e">
        <f t="shared" si="0"/>
        <v>#DIV/0!</v>
      </c>
      <c r="H19" s="108"/>
    </row>
    <row r="20" spans="2:8">
      <c r="B20" s="96"/>
      <c r="C20" s="107"/>
      <c r="D20" s="98"/>
      <c r="E20" s="94"/>
      <c r="F20" s="98"/>
      <c r="G20" s="99" t="e">
        <f t="shared" si="0"/>
        <v>#DIV/0!</v>
      </c>
      <c r="H20" s="100" t="str">
        <f ca="1">IFERROR(__xludf.DUMMYFUNCTION("AVERAGE(FILTER(G18:G20,ISNUMBER(G18:G20)))"),"#N/A")</f>
        <v>#N/A</v>
      </c>
    </row>
    <row r="21" spans="2:8">
      <c r="B21" s="85"/>
      <c r="C21" s="106"/>
      <c r="D21" s="101"/>
      <c r="E21" s="88"/>
      <c r="F21" s="89"/>
      <c r="G21" s="90" t="e">
        <f t="shared" si="0"/>
        <v>#DIV/0!</v>
      </c>
      <c r="H21" s="108"/>
    </row>
    <row r="22" spans="2:8">
      <c r="B22" s="91"/>
      <c r="C22" s="104"/>
      <c r="D22" s="87"/>
      <c r="E22" s="94"/>
      <c r="F22" s="87"/>
      <c r="G22" s="90" t="e">
        <f t="shared" si="0"/>
        <v>#DIV/0!</v>
      </c>
      <c r="H22" s="108"/>
    </row>
    <row r="23" spans="2:8">
      <c r="B23" s="105"/>
      <c r="C23" s="97"/>
      <c r="D23" s="109"/>
      <c r="E23" s="102"/>
      <c r="F23" s="109"/>
      <c r="G23" s="99" t="e">
        <f t="shared" si="0"/>
        <v>#DIV/0!</v>
      </c>
      <c r="H23" s="100" t="str">
        <f ca="1">IFERROR(__xludf.DUMMYFUNCTION("AVERAGE(FILTER(G21:G23,ISNUMBER(G21:G23)))"),"#N/A")</f>
        <v>#N/A</v>
      </c>
    </row>
    <row r="24" spans="2:8">
      <c r="B24" s="81"/>
      <c r="C24" s="81"/>
      <c r="D24" s="81"/>
      <c r="E24" s="81"/>
      <c r="F24" s="81"/>
      <c r="G24" s="81"/>
      <c r="H24" s="81"/>
    </row>
    <row r="25" spans="2:8">
      <c r="B25" s="81"/>
      <c r="C25" s="81"/>
      <c r="D25" s="81"/>
      <c r="E25" s="81"/>
      <c r="F25" s="81"/>
      <c r="G25" s="81"/>
      <c r="H25" s="81"/>
    </row>
    <row r="26" spans="2:8">
      <c r="B26" s="81"/>
      <c r="C26" s="81"/>
      <c r="D26" s="81"/>
      <c r="E26" s="81"/>
      <c r="F26" s="81"/>
      <c r="G26" s="81"/>
      <c r="H26" s="81"/>
    </row>
  </sheetData>
  <mergeCells count="5">
    <mergeCell ref="B2:C2"/>
    <mergeCell ref="B4:G5"/>
    <mergeCell ref="J4:O5"/>
    <mergeCell ref="B7:G7"/>
    <mergeCell ref="J7:O7"/>
  </mergeCells>
  <phoneticPr fontId="43" type="noConversion"/>
  <dataValidations count="1">
    <dataValidation type="list" allowBlank="1" sqref="B9 J9 B12 B15 B18 B21" xr:uid="{00000000-0002-0000-0700-000000000000}">
      <formula1>"SS,A,B,C"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D2"/>
  <sheetViews>
    <sheetView workbookViewId="0"/>
  </sheetViews>
  <sheetFormatPr defaultColWidth="11.25" defaultRowHeight="15.75" customHeight="1"/>
  <sheetData>
    <row r="2" spans="1:4">
      <c r="A2" s="3" t="s">
        <v>294</v>
      </c>
      <c r="B2" s="3" t="s">
        <v>331</v>
      </c>
      <c r="C2" s="3" t="s">
        <v>332</v>
      </c>
      <c r="D2" s="3" t="s">
        <v>333</v>
      </c>
    </row>
  </sheetData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25" defaultRowHeight="15.75" customHeight="1"/>
  <cols>
    <col min="1" max="1" width="7.125" customWidth="1"/>
    <col min="2" max="2" width="9" customWidth="1"/>
    <col min="3" max="3" width="20.125" customWidth="1"/>
    <col min="4" max="5" width="12.75" customWidth="1"/>
    <col min="6" max="6" width="18" customWidth="1"/>
    <col min="7" max="8" width="15.375" customWidth="1"/>
    <col min="9" max="9" width="12.75" customWidth="1"/>
    <col min="10" max="10" width="17.375" customWidth="1"/>
  </cols>
  <sheetData>
    <row r="1" spans="1:10" ht="22.5" customHeight="1">
      <c r="A1" s="66" t="s">
        <v>95</v>
      </c>
      <c r="B1" s="66" t="s">
        <v>96</v>
      </c>
      <c r="C1" s="66" t="s">
        <v>281</v>
      </c>
      <c r="D1" s="66" t="s">
        <v>106</v>
      </c>
      <c r="E1" s="66" t="s">
        <v>334</v>
      </c>
      <c r="F1" s="66" t="s">
        <v>335</v>
      </c>
      <c r="G1" s="68" t="s">
        <v>336</v>
      </c>
      <c r="H1" s="68" t="s">
        <v>337</v>
      </c>
      <c r="I1" s="68" t="s">
        <v>338</v>
      </c>
      <c r="J1" s="66" t="s">
        <v>339</v>
      </c>
    </row>
    <row r="2" spans="1:10" ht="22.5" customHeight="1">
      <c r="A2" s="1" t="str">
        <f>'3. 도서별 작업 현황'!A2</f>
        <v>SS0001</v>
      </c>
      <c r="B2" s="1" t="e">
        <f t="array" aca="1" ref="B2" ca="1">_xludf.XLOOKUP(A2,'2. 도서 정보'!A:A,'2. 도서 정보'!B:B,"")</f>
        <v>#NAME?</v>
      </c>
      <c r="C2" s="1" t="e">
        <f t="array" aca="1" ref="C2" ca="1">_xludf.XLOOKUP(A2,'3. 도서별 작업 현황'!A:A,'3. 도서별 작업 현황'!W:W,"")</f>
        <v>#NAME?</v>
      </c>
      <c r="D2" s="1" t="e">
        <f t="array" aca="1" ref="D2" ca="1">_xludf.XLOOKUP(A2,'2. 도서 정보'!A:A,'2. 도서 정보'!N:N,"")</f>
        <v>#NAME?</v>
      </c>
      <c r="E2" s="1"/>
      <c r="F2" s="71"/>
      <c r="G2" s="1"/>
      <c r="H2" s="1"/>
      <c r="I2" s="71"/>
      <c r="J2" s="71"/>
    </row>
    <row r="3" spans="1:10" ht="22.5" customHeight="1">
      <c r="A3" s="1" t="str">
        <f>'3. 도서별 작업 현황'!A3</f>
        <v>SS0002</v>
      </c>
      <c r="B3" s="1" t="e">
        <f t="array" aca="1" ref="B3" ca="1">_xludf.XLOOKUP(A3,'2. 도서 정보'!A:A,'2. 도서 정보'!B:B,"")</f>
        <v>#NAME?</v>
      </c>
      <c r="C3" s="1"/>
      <c r="D3" s="1" t="e">
        <f t="array" aca="1" ref="D3" ca="1">_xludf.XLOOKUP(A3,'2. 도서 정보'!A:A,'2. 도서 정보'!N:N,"")</f>
        <v>#NAME?</v>
      </c>
      <c r="E3" s="1"/>
      <c r="F3" s="71"/>
      <c r="G3" s="1"/>
      <c r="H3" s="1"/>
      <c r="I3" s="71"/>
      <c r="J3" s="71"/>
    </row>
    <row r="4" spans="1:10" ht="22.5" customHeight="1">
      <c r="A4" s="1" t="str">
        <f>'3. 도서별 작업 현황'!A4</f>
        <v>SS0003</v>
      </c>
      <c r="B4" s="1" t="e">
        <f t="array" aca="1" ref="B4" ca="1">_xludf.XLOOKUP(A4,'2. 도서 정보'!A:A,'2. 도서 정보'!B:B,"")</f>
        <v>#NAME?</v>
      </c>
      <c r="C4" s="1"/>
      <c r="D4" s="1" t="e">
        <f t="array" aca="1" ref="D4" ca="1">_xludf.XLOOKUP(A4,'2. 도서 정보'!A:A,'2. 도서 정보'!N:N,"")</f>
        <v>#NAME?</v>
      </c>
      <c r="E4" s="1"/>
      <c r="F4" s="71"/>
      <c r="G4" s="1"/>
      <c r="H4" s="1"/>
      <c r="I4" s="71"/>
      <c r="J4" s="71"/>
    </row>
    <row r="5" spans="1:10" ht="22.5" customHeight="1">
      <c r="A5" s="1" t="str">
        <f>'3. 도서별 작업 현황'!A5</f>
        <v>SS0004</v>
      </c>
      <c r="B5" s="1" t="e">
        <f t="array" aca="1" ref="B5" ca="1">_xludf.XLOOKUP(A5,'2. 도서 정보'!A:A,'2. 도서 정보'!B:B,"")</f>
        <v>#NAME?</v>
      </c>
      <c r="C5" s="1"/>
      <c r="D5" s="1" t="e">
        <f t="array" aca="1" ref="D5" ca="1">_xludf.XLOOKUP(A5,'2. 도서 정보'!A:A,'2. 도서 정보'!N:N,"")</f>
        <v>#NAME?</v>
      </c>
      <c r="E5" s="1"/>
      <c r="F5" s="71"/>
      <c r="G5" s="1"/>
      <c r="H5" s="1"/>
      <c r="I5" s="71"/>
      <c r="J5" s="71"/>
    </row>
    <row r="6" spans="1:10" ht="22.5" customHeight="1">
      <c r="A6" s="1" t="str">
        <f>'3. 도서별 작업 현황'!A6</f>
        <v>SS0005</v>
      </c>
      <c r="B6" s="1" t="e">
        <f t="array" aca="1" ref="B6" ca="1">_xludf.XLOOKUP(A6,'2. 도서 정보'!A:A,'2. 도서 정보'!B:B,"")</f>
        <v>#NAME?</v>
      </c>
      <c r="C6" s="1"/>
      <c r="D6" s="1" t="e">
        <f t="array" aca="1" ref="D6" ca="1">_xludf.XLOOKUP(A6,'2. 도서 정보'!A:A,'2. 도서 정보'!N:N,"")</f>
        <v>#NAME?</v>
      </c>
      <c r="E6" s="1"/>
      <c r="F6" s="71"/>
      <c r="G6" s="1"/>
      <c r="H6" s="1"/>
      <c r="I6" s="71"/>
      <c r="J6" s="71"/>
    </row>
    <row r="7" spans="1:10" ht="22.5" customHeight="1">
      <c r="A7" s="1" t="str">
        <f>'3. 도서별 작업 현황'!A7</f>
        <v>SS0006</v>
      </c>
      <c r="B7" s="1" t="e">
        <f t="array" aca="1" ref="B7" ca="1">_xludf.XLOOKUP(A7,'2. 도서 정보'!A:A,'2. 도서 정보'!B:B,"")</f>
        <v>#NAME?</v>
      </c>
      <c r="C7" s="1"/>
      <c r="D7" s="1" t="e">
        <f t="array" aca="1" ref="D7" ca="1">_xludf.XLOOKUP(A7,'2. 도서 정보'!A:A,'2. 도서 정보'!N:N,"")</f>
        <v>#NAME?</v>
      </c>
      <c r="E7" s="1"/>
      <c r="F7" s="71"/>
      <c r="G7" s="1"/>
      <c r="H7" s="1"/>
      <c r="I7" s="71"/>
      <c r="J7" s="71"/>
    </row>
    <row r="8" spans="1:10" ht="22.5" customHeight="1">
      <c r="A8" s="1" t="str">
        <f>'3. 도서별 작업 현황'!A8</f>
        <v>SS0007</v>
      </c>
      <c r="B8" s="1" t="e">
        <f t="array" aca="1" ref="B8" ca="1">_xludf.XLOOKUP(A8,'2. 도서 정보'!A:A,'2. 도서 정보'!B:B,"")</f>
        <v>#NAME?</v>
      </c>
      <c r="C8" s="1"/>
      <c r="D8" s="1" t="e">
        <f t="array" aca="1" ref="D8" ca="1">_xludf.XLOOKUP(A8,'2. 도서 정보'!A:A,'2. 도서 정보'!N:N,"")</f>
        <v>#NAME?</v>
      </c>
      <c r="E8" s="1"/>
      <c r="F8" s="71"/>
      <c r="G8" s="1"/>
      <c r="H8" s="1"/>
      <c r="I8" s="71"/>
      <c r="J8" s="71"/>
    </row>
    <row r="9" spans="1:10" ht="22.5" customHeight="1">
      <c r="A9" s="1" t="str">
        <f>'3. 도서별 작업 현황'!A9</f>
        <v>SS0008</v>
      </c>
      <c r="B9" s="1" t="e">
        <f t="array" aca="1" ref="B9" ca="1">_xludf.XLOOKUP(A9,'2. 도서 정보'!A:A,'2. 도서 정보'!B:B,"")</f>
        <v>#NAME?</v>
      </c>
      <c r="C9" s="1"/>
      <c r="D9" s="1" t="e">
        <f t="array" aca="1" ref="D9" ca="1">_xludf.XLOOKUP(A9,'2. 도서 정보'!A:A,'2. 도서 정보'!N:N,"")</f>
        <v>#NAME?</v>
      </c>
      <c r="E9" s="1"/>
      <c r="F9" s="71"/>
      <c r="G9" s="1"/>
      <c r="H9" s="1"/>
      <c r="I9" s="71"/>
      <c r="J9" s="71"/>
    </row>
    <row r="10" spans="1:10" ht="22.5" customHeight="1">
      <c r="A10" s="1" t="str">
        <f>'3. 도서별 작업 현황'!A10</f>
        <v>SS0009</v>
      </c>
      <c r="B10" s="1" t="e">
        <f t="array" aca="1" ref="B10" ca="1">_xludf.XLOOKUP(A10,'2. 도서 정보'!A:A,'2. 도서 정보'!B:B,"")</f>
        <v>#NAME?</v>
      </c>
      <c r="C10" s="1"/>
      <c r="D10" s="1" t="e">
        <f t="array" aca="1" ref="D10" ca="1">_xludf.XLOOKUP(A10,'2. 도서 정보'!A:A,'2. 도서 정보'!N:N,"")</f>
        <v>#NAME?</v>
      </c>
      <c r="E10" s="1"/>
      <c r="F10" s="71"/>
      <c r="G10" s="1"/>
      <c r="H10" s="1"/>
      <c r="I10" s="71"/>
      <c r="J10" s="71"/>
    </row>
    <row r="11" spans="1:10" ht="22.5" customHeight="1">
      <c r="A11" s="1" t="str">
        <f>'3. 도서별 작업 현황'!A11</f>
        <v>SS0010</v>
      </c>
      <c r="B11" s="1" t="e">
        <f t="array" aca="1" ref="B11" ca="1">_xludf.XLOOKUP(A11,'2. 도서 정보'!A:A,'2. 도서 정보'!B:B,"")</f>
        <v>#NAME?</v>
      </c>
      <c r="C11" s="1"/>
      <c r="D11" s="1" t="e">
        <f t="array" aca="1" ref="D11" ca="1">_xludf.XLOOKUP(A11,'2. 도서 정보'!A:A,'2. 도서 정보'!N:N,"")</f>
        <v>#NAME?</v>
      </c>
      <c r="E11" s="1"/>
      <c r="F11" s="71"/>
      <c r="G11" s="1"/>
      <c r="H11" s="1"/>
      <c r="I11" s="71"/>
      <c r="J11" s="71"/>
    </row>
    <row r="12" spans="1:10" ht="22.5" customHeight="1">
      <c r="A12" s="1" t="str">
        <f>'3. 도서별 작업 현황'!A12</f>
        <v>SS0011</v>
      </c>
      <c r="B12" s="1" t="e">
        <f t="array" aca="1" ref="B12" ca="1">_xludf.XLOOKUP(A12,'2. 도서 정보'!A:A,'2. 도서 정보'!B:B,"")</f>
        <v>#NAME?</v>
      </c>
      <c r="C12" s="1"/>
      <c r="D12" s="1" t="e">
        <f t="array" aca="1" ref="D12" ca="1">_xludf.XLOOKUP(A12,'2. 도서 정보'!A:A,'2. 도서 정보'!N:N,"")</f>
        <v>#NAME?</v>
      </c>
      <c r="E12" s="1"/>
      <c r="F12" s="71"/>
      <c r="G12" s="1"/>
      <c r="H12" s="1"/>
      <c r="I12" s="71"/>
      <c r="J12" s="71"/>
    </row>
    <row r="13" spans="1:10" ht="22.5" customHeight="1">
      <c r="A13" s="1" t="str">
        <f>'3. 도서별 작업 현황'!A13</f>
        <v>SS0012</v>
      </c>
      <c r="B13" s="1" t="e">
        <f t="array" aca="1" ref="B13" ca="1">_xludf.XLOOKUP(A13,'2. 도서 정보'!A:A,'2. 도서 정보'!B:B,"")</f>
        <v>#NAME?</v>
      </c>
      <c r="C13" s="1"/>
      <c r="D13" s="1" t="e">
        <f t="array" aca="1" ref="D13" ca="1">_xludf.XLOOKUP(A13,'2. 도서 정보'!A:A,'2. 도서 정보'!N:N,"")</f>
        <v>#NAME?</v>
      </c>
      <c r="E13" s="1"/>
      <c r="F13" s="71"/>
      <c r="G13" s="1"/>
      <c r="H13" s="1"/>
      <c r="I13" s="71"/>
      <c r="J13" s="71"/>
    </row>
    <row r="14" spans="1:10" ht="22.5" customHeight="1">
      <c r="A14" s="1" t="str">
        <f>'3. 도서별 작업 현황'!A14</f>
        <v>SS0013</v>
      </c>
      <c r="B14" s="1" t="e">
        <f t="array" aca="1" ref="B14" ca="1">_xludf.XLOOKUP(A14,'2. 도서 정보'!A:A,'2. 도서 정보'!B:B,"")</f>
        <v>#NAME?</v>
      </c>
      <c r="C14" s="1"/>
      <c r="D14" s="1" t="e">
        <f t="array" aca="1" ref="D14" ca="1">_xludf.XLOOKUP(A14,'2. 도서 정보'!A:A,'2. 도서 정보'!N:N,"")</f>
        <v>#NAME?</v>
      </c>
      <c r="E14" s="1"/>
      <c r="F14" s="71"/>
      <c r="G14" s="1"/>
      <c r="H14" s="1"/>
      <c r="I14" s="71"/>
      <c r="J14" s="71"/>
    </row>
    <row r="15" spans="1:10" ht="22.5" customHeight="1">
      <c r="A15" s="1" t="str">
        <f>'3. 도서별 작업 현황'!A15</f>
        <v>SS0014</v>
      </c>
      <c r="B15" s="1" t="e">
        <f t="array" aca="1" ref="B15" ca="1">_xludf.XLOOKUP(A15,'2. 도서 정보'!A:A,'2. 도서 정보'!B:B,"")</f>
        <v>#NAME?</v>
      </c>
      <c r="C15" s="1"/>
      <c r="D15" s="1" t="e">
        <f t="array" aca="1" ref="D15" ca="1">_xludf.XLOOKUP(A15,'2. 도서 정보'!A:A,'2. 도서 정보'!N:N,"")</f>
        <v>#NAME?</v>
      </c>
      <c r="E15" s="1"/>
      <c r="F15" s="71"/>
      <c r="G15" s="1"/>
      <c r="H15" s="1"/>
      <c r="I15" s="71"/>
      <c r="J15" s="71"/>
    </row>
  </sheetData>
  <phoneticPr fontId="43" type="noConversion"/>
  <dataValidations count="2">
    <dataValidation type="custom" allowBlank="1" showDropDown="1" sqref="D2:J15" xr:uid="{00000000-0002-0000-0900-000000000000}">
      <formula1>AND(ISNUMBER(D2),(NOT(OR(NOT(ISERROR(DATEVALUE(D2))), AND(ISNUMBER(D2), LEFT(CELL("format", D2))="D")))))</formula1>
    </dataValidation>
    <dataValidation type="list" allowBlank="1" sqref="C2:C15" xr:uid="{00000000-0002-0000-0900-000001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5"/>
  <sheetViews>
    <sheetView workbookViewId="0"/>
  </sheetViews>
  <sheetFormatPr defaultColWidth="11.25" defaultRowHeight="15.75" customHeight="1"/>
  <sheetData>
    <row r="1" spans="1:6">
      <c r="A1" s="110" t="s">
        <v>107</v>
      </c>
      <c r="B1" s="110" t="s">
        <v>126</v>
      </c>
      <c r="C1" s="110" t="s">
        <v>284</v>
      </c>
      <c r="D1" s="110" t="s">
        <v>340</v>
      </c>
      <c r="E1" s="110" t="s">
        <v>341</v>
      </c>
      <c r="F1" s="110"/>
    </row>
    <row r="2" spans="1:6">
      <c r="A2" s="3" t="s">
        <v>131</v>
      </c>
      <c r="B2" s="3" t="s">
        <v>330</v>
      </c>
      <c r="C2" s="3" t="s">
        <v>291</v>
      </c>
      <c r="D2" s="3" t="s">
        <v>84</v>
      </c>
      <c r="E2" s="3" t="s">
        <v>342</v>
      </c>
    </row>
    <row r="3" spans="1:6">
      <c r="A3" s="3" t="s">
        <v>137</v>
      </c>
      <c r="B3" s="3" t="s">
        <v>133</v>
      </c>
      <c r="C3" s="3" t="s">
        <v>292</v>
      </c>
      <c r="D3" s="3" t="s">
        <v>87</v>
      </c>
      <c r="E3" s="3" t="s">
        <v>88</v>
      </c>
    </row>
    <row r="4" spans="1:6">
      <c r="A4" s="3" t="s">
        <v>142</v>
      </c>
      <c r="B4" s="3" t="s">
        <v>343</v>
      </c>
      <c r="D4" s="3" t="s">
        <v>344</v>
      </c>
      <c r="E4" s="3" t="s">
        <v>289</v>
      </c>
    </row>
    <row r="5" spans="1:6">
      <c r="A5" s="3" t="s">
        <v>145</v>
      </c>
      <c r="B5" s="3" t="s">
        <v>139</v>
      </c>
      <c r="E5" s="3" t="s">
        <v>287</v>
      </c>
    </row>
  </sheetData>
  <phoneticPr fontId="4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0. 시트 사용 안내</vt:lpstr>
      <vt:lpstr>1. 프로젝트 대시보드</vt:lpstr>
      <vt:lpstr>2. 도서 정보</vt:lpstr>
      <vt:lpstr>2. 도서 정보의 사본</vt:lpstr>
      <vt:lpstr>3. 도서별 작업 현황</vt:lpstr>
      <vt:lpstr>4. 작업자 관리</vt:lpstr>
      <vt:lpstr>5. 납품 전 체크리스트</vt:lpstr>
      <vt:lpstr>PoC</vt:lpstr>
      <vt:lpstr>작업자 정산관리</vt:lpstr>
      <vt:lpstr>WER 로그</vt:lpstr>
      <vt:lpstr>드롭다운 클래스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임혜린</cp:lastModifiedBy>
  <dcterms:modified xsi:type="dcterms:W3CDTF">2026-03-31T05:43:25Z</dcterms:modified>
</cp:coreProperties>
</file>